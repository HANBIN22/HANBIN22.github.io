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2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gxy/Desktop/"/>
    </mc:Choice>
  </mc:AlternateContent>
  <xr:revisionPtr revIDLastSave="0" documentId="13_ncr:1_{631C9527-1210-804A-9880-77C3B92E4D2C}" xr6:coauthVersionLast="47" xr6:coauthVersionMax="47" xr10:uidLastSave="{00000000-0000-0000-0000-000000000000}"/>
  <bookViews>
    <workbookView xWindow="140" yWindow="500" windowWidth="26140" windowHeight="16900" activeTab="9" xr2:uid="{C5E1FFFF-0AEE-4544-BB0C-748080C647A6}"/>
  </bookViews>
  <sheets>
    <sheet name="Port_NASDAQ" sheetId="3" r:id="rId1"/>
    <sheet name="ZBIO" sheetId="2" r:id="rId2"/>
    <sheet name="Z" sheetId="6" r:id="rId3"/>
    <sheet name="ZBRA" sheetId="7" r:id="rId4"/>
    <sheet name="ZION" sheetId="8" r:id="rId5"/>
    <sheet name="HIVE" sheetId="10" r:id="rId6"/>
    <sheet name="HUT" sheetId="11" r:id="rId7"/>
    <sheet name="CDNS" sheetId="12" r:id="rId8"/>
    <sheet name="CSX" sheetId="13" r:id="rId9"/>
    <sheet name="Optimisation" sheetId="14" r:id="rId10"/>
  </sheets>
  <definedNames>
    <definedName name="_xlnm._FilterDatabase" localSheetId="7" hidden="1">CDNS!$A$1:$D$1</definedName>
    <definedName name="_xlnm._FilterDatabase" localSheetId="8" hidden="1">CSX!$A$1:$D$1</definedName>
    <definedName name="_xlnm._FilterDatabase" localSheetId="5" hidden="1">HIVE!$A$1:$D$1</definedName>
    <definedName name="_xlnm._FilterDatabase" localSheetId="6" hidden="1">HUT!$A$1:$D$1</definedName>
    <definedName name="_xlnm._FilterDatabase" localSheetId="3" hidden="1">ZBRA!$A$1:$D$1</definedName>
    <definedName name="_xlnm._FilterDatabase" localSheetId="4" hidden="1">ZION!$A$1:$G$1</definedName>
    <definedName name="coin_cuttype" localSheetId="9" hidden="1">1</definedName>
    <definedName name="coin_dualtol" localSheetId="9" hidden="1">0.0000001</definedName>
    <definedName name="coin_heurs" localSheetId="9" hidden="1">1</definedName>
    <definedName name="coin_integerpresolve" localSheetId="9" hidden="1">1</definedName>
    <definedName name="coin_presolve1" localSheetId="9" hidden="1">1</definedName>
    <definedName name="coin_primaltol" localSheetId="9" hidden="1">0.0000001</definedName>
    <definedName name="solver_adj" localSheetId="9" hidden="1">Optimisation!$H$2:$H$9</definedName>
    <definedName name="solver_eng" localSheetId="9" hidden="1">0</definedName>
    <definedName name="solver_lhs1" localSheetId="9" hidden="1">Optimisation!$I$2:$I$9</definedName>
    <definedName name="solver_lhs10" localSheetId="9" hidden="1">Optimisation!$I$10</definedName>
    <definedName name="solver_lhs2" localSheetId="9" hidden="1">Optimisation!$I$11</definedName>
    <definedName name="solver_lhs3" localSheetId="9" hidden="1">Optimisation!$H$2:$H$9</definedName>
    <definedName name="solver_lhs4" localSheetId="9" hidden="1">Optimisation!$H$2:$H$9</definedName>
    <definedName name="solver_lhs5" localSheetId="9" hidden="1">Optimisation!$H$5</definedName>
    <definedName name="solver_lhs6" localSheetId="9" hidden="1">Optimisation!$H$6</definedName>
    <definedName name="solver_lhs7" localSheetId="9" hidden="1">Optimisation!$H$7</definedName>
    <definedName name="solver_lhs8" localSheetId="9" hidden="1">Optimisation!$H$8</definedName>
    <definedName name="solver_lhs9" localSheetId="9" hidden="1">Optimisation!$H$9</definedName>
    <definedName name="solver_num" localSheetId="9" hidden="1">4</definedName>
    <definedName name="solver_opt" localSheetId="9" hidden="1">Optimisation!$J$11</definedName>
    <definedName name="solver_rel1" localSheetId="9" hidden="1">1</definedName>
    <definedName name="solver_rel10" localSheetId="9" hidden="1">1</definedName>
    <definedName name="solver_rel2" localSheetId="9" hidden="1">1</definedName>
    <definedName name="solver_rel3" localSheetId="9" hidden="1">3</definedName>
    <definedName name="solver_rel4" localSheetId="9" hidden="1">4</definedName>
    <definedName name="solver_rel5" localSheetId="9" hidden="1">1</definedName>
    <definedName name="solver_rel6" localSheetId="9" hidden="1">1</definedName>
    <definedName name="solver_rel7" localSheetId="9" hidden="1">1</definedName>
    <definedName name="solver_rel8" localSheetId="9" hidden="1">1</definedName>
    <definedName name="solver_rel9" localSheetId="9" hidden="1">1</definedName>
    <definedName name="solver_rhs1" localSheetId="9" hidden="1">Optimisation!$G$2:$G$9</definedName>
    <definedName name="solver_rhs10" localSheetId="9" hidden="1">Optimisation!$G$10</definedName>
    <definedName name="solver_rhs2" localSheetId="9" hidden="1">Optimisation!$L$2</definedName>
    <definedName name="solver_rhs3" localSheetId="9" hidden="1">0</definedName>
    <definedName name="solver_rhs5" localSheetId="9" hidden="1">Optimisation!$G$5</definedName>
    <definedName name="solver_rhs6" localSheetId="9" hidden="1">Optimisation!$G$6</definedName>
    <definedName name="solver_rhs7" localSheetId="9" hidden="1">Optimisation!$J$7</definedName>
    <definedName name="solver_rhs8" localSheetId="9" hidden="1">Optimisation!$J$8</definedName>
    <definedName name="solver_rhs9" localSheetId="9" hidden="1">Optimisation!$J$9</definedName>
    <definedName name="solver_rlx" localSheetId="9" hidden="1">0</definedName>
    <definedName name="solver_rxv" localSheetId="9" hidden="1">1</definedName>
    <definedName name="solver_scl" localSheetId="9" hidden="1">0</definedName>
    <definedName name="solver_tol" localSheetId="9" hidden="1">0</definedName>
    <definedName name="solver_typ" localSheetId="9" hidden="1">1</definedName>
    <definedName name="solver_val" localSheetId="9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4" l="1"/>
  <c r="D17" i="14"/>
  <c r="D18" i="14"/>
  <c r="D19" i="14"/>
  <c r="D20" i="14"/>
  <c r="D21" i="14"/>
  <c r="D22" i="14"/>
  <c r="D24" i="14"/>
  <c r="D15" i="14"/>
  <c r="J3" i="14"/>
  <c r="J2" i="14"/>
  <c r="C25" i="14"/>
  <c r="C22" i="14"/>
  <c r="C21" i="14"/>
  <c r="C20" i="14"/>
  <c r="C19" i="14"/>
  <c r="C18" i="14"/>
  <c r="C17" i="14"/>
  <c r="C16" i="14"/>
  <c r="C15" i="14"/>
  <c r="L2" i="14"/>
  <c r="E9" i="14"/>
  <c r="F9" i="14" s="1"/>
  <c r="E8" i="14"/>
  <c r="F8" i="14" s="1"/>
  <c r="E7" i="14"/>
  <c r="F7" i="14" s="1"/>
  <c r="E6" i="14"/>
  <c r="F6" i="14" s="1"/>
  <c r="E5" i="14"/>
  <c r="F5" i="14" s="1"/>
  <c r="D9" i="14"/>
  <c r="D8" i="14"/>
  <c r="D7" i="14"/>
  <c r="D6" i="14"/>
  <c r="D5" i="14"/>
  <c r="E4" i="14"/>
  <c r="F4" i="14" s="1"/>
  <c r="D4" i="14"/>
  <c r="E3" i="14"/>
  <c r="F3" i="14" s="1"/>
  <c r="D3" i="14"/>
  <c r="D2" i="14"/>
  <c r="C9" i="14"/>
  <c r="G9" i="14" s="1"/>
  <c r="C8" i="14"/>
  <c r="G8" i="14" s="1"/>
  <c r="C7" i="14"/>
  <c r="G7" i="14" s="1"/>
  <c r="C6" i="14"/>
  <c r="G6" i="14" s="1"/>
  <c r="C5" i="14"/>
  <c r="G5" i="14" s="1"/>
  <c r="C4" i="14"/>
  <c r="G4" i="14" s="1"/>
  <c r="C3" i="14"/>
  <c r="G3" i="14" s="1"/>
  <c r="C2" i="14"/>
  <c r="G2" i="14" s="1"/>
  <c r="B9" i="14"/>
  <c r="I9" i="14" s="1"/>
  <c r="B8" i="14"/>
  <c r="I8" i="14" s="1"/>
  <c r="B7" i="14"/>
  <c r="I7" i="14" s="1"/>
  <c r="B6" i="14"/>
  <c r="I6" i="14" s="1"/>
  <c r="B5" i="14"/>
  <c r="I5" i="14" s="1"/>
  <c r="B4" i="14"/>
  <c r="I4" i="14" s="1"/>
  <c r="B3" i="14"/>
  <c r="I3" i="14" s="1"/>
  <c r="B2" i="14"/>
  <c r="I2" i="14" s="1"/>
  <c r="C24" i="14" l="1"/>
  <c r="I11" i="14"/>
  <c r="J9" i="14"/>
  <c r="J6" i="14"/>
  <c r="J7" i="14"/>
  <c r="J8" i="14"/>
  <c r="J4" i="14"/>
  <c r="J5" i="14"/>
  <c r="F2" i="13" l="1" a="1"/>
  <c r="F2" i="13" s="1"/>
  <c r="F2" i="12" a="1"/>
  <c r="F2" i="12" s="1"/>
  <c r="F2" i="11" a="1"/>
  <c r="F2" i="11" s="1"/>
  <c r="M44" i="11"/>
  <c r="F2" i="10" a="1"/>
  <c r="F2" i="10" s="1"/>
  <c r="E22" i="13"/>
  <c r="E39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7" i="13"/>
  <c r="E26" i="12"/>
  <c r="E30" i="12"/>
  <c r="E39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7" i="12"/>
  <c r="E28" i="12"/>
  <c r="E29" i="12"/>
  <c r="E31" i="12"/>
  <c r="E32" i="12"/>
  <c r="E33" i="12"/>
  <c r="E34" i="12"/>
  <c r="E35" i="12"/>
  <c r="E36" i="12"/>
  <c r="E37" i="12"/>
  <c r="E38" i="12"/>
  <c r="E7" i="12"/>
  <c r="E35" i="11"/>
  <c r="E39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6" i="11"/>
  <c r="E37" i="11"/>
  <c r="E38" i="11"/>
  <c r="E7" i="11"/>
  <c r="E30" i="10"/>
  <c r="E39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1" i="10"/>
  <c r="E32" i="10"/>
  <c r="E33" i="10"/>
  <c r="E34" i="10"/>
  <c r="E35" i="10"/>
  <c r="E36" i="10"/>
  <c r="E37" i="10"/>
  <c r="E38" i="10"/>
  <c r="E7" i="10"/>
  <c r="F2" i="8" a="1"/>
  <c r="F2" i="8" s="1"/>
  <c r="E14" i="8"/>
  <c r="E39" i="8"/>
  <c r="E8" i="8"/>
  <c r="E9" i="8"/>
  <c r="E10" i="8"/>
  <c r="E11" i="8"/>
  <c r="E12" i="8"/>
  <c r="E13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7" i="8"/>
  <c r="F2" i="7" a="1"/>
  <c r="F2" i="7" s="1"/>
  <c r="F2" i="6" a="1"/>
  <c r="F2" i="6" s="1"/>
  <c r="E37" i="7"/>
  <c r="E39" i="7"/>
  <c r="E15" i="7"/>
  <c r="E8" i="7"/>
  <c r="E9" i="7"/>
  <c r="E10" i="7"/>
  <c r="E11" i="7"/>
  <c r="E12" i="7"/>
  <c r="E13" i="7"/>
  <c r="E14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8" i="7"/>
  <c r="E7" i="7"/>
  <c r="E35" i="6"/>
  <c r="E20" i="6"/>
  <c r="E28" i="6"/>
  <c r="E12" i="6"/>
  <c r="E11" i="6"/>
  <c r="E39" i="6"/>
  <c r="E38" i="6"/>
  <c r="E37" i="6"/>
  <c r="E36" i="6"/>
  <c r="E34" i="6"/>
  <c r="E33" i="6"/>
  <c r="E32" i="6"/>
  <c r="E31" i="6"/>
  <c r="E30" i="6"/>
  <c r="E29" i="6"/>
  <c r="E27" i="6"/>
  <c r="E26" i="6"/>
  <c r="E25" i="6"/>
  <c r="E24" i="6"/>
  <c r="E23" i="6"/>
  <c r="E22" i="6"/>
  <c r="E21" i="6"/>
  <c r="E19" i="6"/>
  <c r="E18" i="6"/>
  <c r="E17" i="6"/>
  <c r="E16" i="6"/>
  <c r="E15" i="6"/>
  <c r="E14" i="6"/>
  <c r="E13" i="6"/>
  <c r="E10" i="6"/>
  <c r="E9" i="6"/>
  <c r="E8" i="6"/>
  <c r="E7" i="6"/>
  <c r="E7" i="2"/>
  <c r="F2" i="2" s="1" a="1"/>
  <c r="F2" i="2" s="1"/>
  <c r="E2" i="14" s="1"/>
  <c r="F2" i="14" s="1"/>
  <c r="E39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J11" i="1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<sst xmlns="http://schemas.openxmlformats.org/spreadsheetml/2006/main" count="411" uniqueCount="96">
  <si>
    <t>TD</t>
    <phoneticPr fontId="1" type="noConversion"/>
  </si>
  <si>
    <t>Date</t>
    <phoneticPr fontId="1" type="noConversion"/>
  </si>
  <si>
    <t>Volume</t>
    <phoneticPr fontId="1" type="noConversion"/>
  </si>
  <si>
    <t>CP</t>
    <phoneticPr fontId="1" type="noConversion"/>
  </si>
  <si>
    <t>SMA5</t>
    <phoneticPr fontId="1" type="noConversion"/>
  </si>
  <si>
    <t>BSR</t>
    <phoneticPr fontId="1" type="noConversion"/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</si>
  <si>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</si>
  <si>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</si>
  <si>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</si>
  <si>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</si>
  <si>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</si>
  <si>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</si>
  <si>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</si>
  <si>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</si>
  <si>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</si>
  <si>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</si>
  <si>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</si>
  <si>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</si>
  <si>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</si>
  <si>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</si>
  <si>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</si>
  <si>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</si>
  <si>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</si>
  <si>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</si>
  <si>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</si>
  <si>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</si>
  <si>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</si>
  <si>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</si>
  <si>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</si>
  <si>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</si>
  <si>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</si>
  <si>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</si>
  <si>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</si>
  <si>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Standard Residuals</t>
  </si>
  <si>
    <t>TD</t>
  </si>
  <si>
    <t>Predicted CP</t>
  </si>
  <si>
    <t>CP=8.6539+0.1749*TD</t>
  </si>
  <si>
    <t>Zenas BioPharma, Inc.</t>
  </si>
  <si>
    <t>ZBIO</t>
  </si>
  <si>
    <t xml:space="preserve">Ticker </t>
  </si>
  <si>
    <t>Sector</t>
  </si>
  <si>
    <t>Industry</t>
  </si>
  <si>
    <t>Health Care</t>
  </si>
  <si>
    <t>Biotechnology: Pharmaceutical Preparations</t>
  </si>
  <si>
    <t xml:space="preserve">Portfolio of Companies </t>
  </si>
  <si>
    <t>Zillow Group, Inc.</t>
  </si>
  <si>
    <t>Z</t>
  </si>
  <si>
    <t>Real Estate</t>
  </si>
  <si>
    <t>CP=67.1023+0.3734*TD</t>
  </si>
  <si>
    <t xml:space="preserve">Zebra Technologies Corporation </t>
  </si>
  <si>
    <t>ZBRA</t>
  </si>
  <si>
    <t>Industrials</t>
  </si>
  <si>
    <t>Industrial Machinery/Components</t>
  </si>
  <si>
    <t>Date</t>
  </si>
  <si>
    <t>Volume</t>
  </si>
  <si>
    <t>CP</t>
  </si>
  <si>
    <t xml:space="preserve">SMA5	</t>
  </si>
  <si>
    <t>BSR</t>
  </si>
  <si>
    <t>CP=288.3619+1.4031*TD</t>
  </si>
  <si>
    <t>Zions Bancorporation, National Association</t>
  </si>
  <si>
    <t>ZION</t>
  </si>
  <si>
    <t>Finance</t>
  </si>
  <si>
    <t>Major Banks</t>
  </si>
  <si>
    <t>Open</t>
  </si>
  <si>
    <t>Close </t>
  </si>
  <si>
    <t>CP=48.5426+0.2285*TD</t>
  </si>
  <si>
    <t>HIVE Digital Technologies Ltd.</t>
  </si>
  <si>
    <t>HIVE</t>
  </si>
  <si>
    <t>Finance: Consumer Services</t>
  </si>
  <si>
    <t>HUT</t>
  </si>
  <si>
    <t xml:space="preserve">Hut 8 Corp. </t>
  </si>
  <si>
    <t xml:space="preserve">Cadence Design Systems, Inc. </t>
  </si>
  <si>
    <t>CDNS</t>
  </si>
  <si>
    <t>Technology</t>
  </si>
  <si>
    <t>Computer Software: Prepackaged Software</t>
  </si>
  <si>
    <t>CSX</t>
  </si>
  <si>
    <t>CSX Corporation</t>
  </si>
  <si>
    <t>Railroads</t>
  </si>
  <si>
    <t>CP=1.8231+0.0135*TD</t>
  </si>
  <si>
    <t>CP=17.5031+0.1163*TD</t>
  </si>
  <si>
    <t>CP=289.4251+1.4528*TD</t>
  </si>
  <si>
    <t>CP=31.5940+0.1016*TD</t>
  </si>
  <si>
    <t>DG</t>
    <phoneticPr fontId="1" type="noConversion"/>
  </si>
  <si>
    <t xml:space="preserve">BSR </t>
    <phoneticPr fontId="1" type="noConversion"/>
  </si>
  <si>
    <t>Shares (#)</t>
    <phoneticPr fontId="1" type="noConversion"/>
  </si>
  <si>
    <t>Ticker</t>
  </si>
  <si>
    <t>Per-Co Cap ($)</t>
  </si>
  <si>
    <t>Invested ($)</t>
  </si>
  <si>
    <t>Days_Invested</t>
  </si>
  <si>
    <t>Port. Cap ($)</t>
  </si>
  <si>
    <t>Actual return</t>
  </si>
  <si>
    <t>R²</t>
  </si>
  <si>
    <t xml:space="preserve">Expected Return ($) </t>
  </si>
  <si>
    <t>Actual Return ($)</t>
  </si>
  <si>
    <t>Expected Return ($)</t>
  </si>
  <si>
    <t>Deviation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</si>
</sst>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;@"/>
    <numFmt numFmtId="165" formatCode="#,##0_ "/>
    <numFmt numFmtId="166" formatCode="0.00_ "/>
    <numFmt numFmtId="171" formatCode="#,##0.0000_ "/>
    <numFmt numFmtId="172" formatCode="#,##0.0000_);[Red]\(#,##0.0000\)"/>
    <numFmt numFmtId="173" formatCode="#,##0.0000"/>
  </numFmts>
  <fonts count="11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Aptos Narrow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rgb="FF232A31"/>
      <name val="Times New Roman"/>
      <family val="1"/>
    </font>
    <font>
      <sz val="14"/>
      <color rgb="FF232A3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theme="3" tint="0.49998474074526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0" applyFont="1">
      <alignment vertical="center"/>
    </xf>
    <xf numFmtId="164" fontId="2" fillId="0" borderId="0" xfId="0" applyNumberFormat="1" applyFont="1">
      <alignment vertical="center"/>
    </xf>
    <xf numFmtId="0" fontId="3" fillId="0" borderId="0" xfId="0" applyFont="1">
      <alignment vertical="center"/>
    </xf>
    <xf numFmtId="10" fontId="3" fillId="0" borderId="0" xfId="0" applyNumberFormat="1" applyFont="1">
      <alignment vertical="center"/>
    </xf>
    <xf numFmtId="165" fontId="3" fillId="0" borderId="0" xfId="0" applyNumberFormat="1" applyFont="1">
      <alignment vertical="center"/>
    </xf>
    <xf numFmtId="166" fontId="2" fillId="0" borderId="0" xfId="0" applyNumberFormat="1" applyFont="1" applyAlignment="1">
      <alignment horizontal="right" vertical="center"/>
    </xf>
    <xf numFmtId="166" fontId="2" fillId="0" borderId="0" xfId="0" applyNumberFormat="1" applyFont="1">
      <alignment vertical="center"/>
    </xf>
    <xf numFmtId="166" fontId="0" fillId="0" borderId="0" xfId="0" applyNumberFormat="1">
      <alignment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  <xf numFmtId="0" fontId="0" fillId="0" borderId="1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Continuous" vertical="center"/>
    </xf>
    <xf numFmtId="164" fontId="5" fillId="0" borderId="0" xfId="0" applyNumberFormat="1" applyFont="1">
      <alignment vertical="center"/>
    </xf>
    <xf numFmtId="0" fontId="6" fillId="0" borderId="0" xfId="0" applyFont="1">
      <alignment vertical="center"/>
    </xf>
    <xf numFmtId="15" fontId="7" fillId="0" borderId="0" xfId="0" applyNumberFormat="1" applyFont="1">
      <alignment vertical="center"/>
    </xf>
    <xf numFmtId="0" fontId="7" fillId="0" borderId="0" xfId="0" applyFont="1">
      <alignment vertical="center"/>
    </xf>
    <xf numFmtId="3" fontId="7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2" fontId="2" fillId="0" borderId="0" xfId="0" applyNumberFormat="1" applyFont="1" applyAlignment="1">
      <alignment horizontal="left" vertical="center"/>
    </xf>
    <xf numFmtId="2" fontId="6" fillId="0" borderId="0" xfId="0" applyNumberFormat="1" applyFont="1">
      <alignment vertical="center"/>
    </xf>
    <xf numFmtId="2" fontId="2" fillId="0" borderId="0" xfId="0" applyNumberFormat="1" applyFont="1">
      <alignment vertical="center"/>
    </xf>
    <xf numFmtId="2" fontId="2" fillId="0" borderId="0" xfId="0" applyNumberFormat="1" applyFont="1" applyAlignment="1">
      <alignment horizontal="right" vertical="center"/>
    </xf>
    <xf numFmtId="2" fontId="0" fillId="0" borderId="0" xfId="0" applyNumberFormat="1">
      <alignment vertical="center"/>
    </xf>
    <xf numFmtId="15" fontId="6" fillId="0" borderId="0" xfId="0" applyNumberFormat="1" applyFont="1">
      <alignment vertical="center"/>
    </xf>
    <xf numFmtId="0" fontId="5" fillId="0" borderId="0" xfId="0" applyFo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Continuous" vertical="center"/>
    </xf>
    <xf numFmtId="171" fontId="2" fillId="0" borderId="0" xfId="0" applyNumberFormat="1" applyFont="1">
      <alignment vertical="center"/>
    </xf>
    <xf numFmtId="171" fontId="5" fillId="0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72" fontId="5" fillId="2" borderId="4" xfId="0" applyNumberFormat="1" applyFont="1" applyFill="1" applyBorder="1" applyAlignment="1">
      <alignment horizontal="left" vertical="center"/>
    </xf>
    <xf numFmtId="165" fontId="5" fillId="2" borderId="4" xfId="0" applyNumberFormat="1" applyFont="1" applyFill="1" applyBorder="1" applyAlignment="1">
      <alignment horizontal="left" vertical="center"/>
    </xf>
    <xf numFmtId="171" fontId="5" fillId="2" borderId="4" xfId="0" applyNumberFormat="1" applyFont="1" applyFill="1" applyBorder="1" applyAlignment="1">
      <alignment horizontal="left" vertical="center"/>
    </xf>
    <xf numFmtId="171" fontId="5" fillId="0" borderId="4" xfId="0" applyNumberFormat="1" applyFont="1" applyFill="1" applyBorder="1" applyAlignment="1">
      <alignment horizontal="left" vertical="center"/>
    </xf>
    <xf numFmtId="171" fontId="5" fillId="2" borderId="5" xfId="0" applyNumberFormat="1" applyFont="1" applyFill="1" applyBorder="1" applyAlignment="1">
      <alignment horizontal="left" vertical="center"/>
    </xf>
    <xf numFmtId="0" fontId="2" fillId="0" borderId="6" xfId="0" applyFont="1" applyBorder="1">
      <alignment vertical="center"/>
    </xf>
    <xf numFmtId="40" fontId="2" fillId="0" borderId="0" xfId="0" applyNumberFormat="1" applyFont="1" applyBorder="1">
      <alignment vertical="center"/>
    </xf>
    <xf numFmtId="172" fontId="2" fillId="0" borderId="0" xfId="0" applyNumberFormat="1" applyFont="1" applyBorder="1">
      <alignment vertical="center"/>
    </xf>
    <xf numFmtId="0" fontId="2" fillId="0" borderId="0" xfId="0" applyFont="1" applyBorder="1">
      <alignment vertical="center"/>
    </xf>
    <xf numFmtId="165" fontId="2" fillId="3" borderId="0" xfId="0" applyNumberFormat="1" applyFont="1" applyFill="1" applyBorder="1">
      <alignment vertical="center"/>
    </xf>
    <xf numFmtId="171" fontId="2" fillId="0" borderId="0" xfId="0" applyNumberFormat="1" applyFont="1" applyBorder="1">
      <alignment vertical="center"/>
    </xf>
    <xf numFmtId="171" fontId="2" fillId="4" borderId="7" xfId="0" applyNumberFormat="1" applyFont="1" applyFill="1" applyBorder="1">
      <alignment vertical="center"/>
    </xf>
    <xf numFmtId="171" fontId="2" fillId="0" borderId="7" xfId="0" applyNumberFormat="1" applyFont="1" applyBorder="1">
      <alignment vertical="center"/>
    </xf>
    <xf numFmtId="38" fontId="2" fillId="0" borderId="0" xfId="0" applyNumberFormat="1" applyFont="1" applyFill="1" applyBorder="1">
      <alignment vertical="center"/>
    </xf>
    <xf numFmtId="165" fontId="2" fillId="0" borderId="0" xfId="0" applyNumberFormat="1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171" fontId="2" fillId="4" borderId="9" xfId="0" applyNumberFormat="1" applyFont="1" applyFill="1" applyBorder="1">
      <alignment vertical="center"/>
    </xf>
    <xf numFmtId="171" fontId="2" fillId="5" borderId="9" xfId="0" applyNumberFormat="1" applyFont="1" applyFill="1" applyBorder="1">
      <alignment vertical="center"/>
    </xf>
    <xf numFmtId="0" fontId="2" fillId="0" borderId="10" xfId="0" applyFont="1" applyBorder="1">
      <alignment vertical="center"/>
    </xf>
    <xf numFmtId="0" fontId="5" fillId="2" borderId="3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166" fontId="0" fillId="0" borderId="0" xfId="0" applyNumberFormat="1" applyFont="1">
      <alignment vertical="center"/>
    </xf>
    <xf numFmtId="171" fontId="3" fillId="0" borderId="0" xfId="0" applyNumberFormat="1" applyFont="1" applyFill="1" applyBorder="1">
      <alignment vertical="center"/>
    </xf>
    <xf numFmtId="171" fontId="2" fillId="0" borderId="0" xfId="0" applyNumberFormat="1" applyFont="1" applyFill="1" applyBorder="1">
      <alignment vertical="center"/>
    </xf>
    <xf numFmtId="171" fontId="2" fillId="5" borderId="0" xfId="0" applyNumberFormat="1" applyFont="1" applyFill="1" applyBorder="1">
      <alignment vertical="center"/>
    </xf>
    <xf numFmtId="0" fontId="10" fillId="0" borderId="9" xfId="0" applyFont="1" applyBorder="1">
      <alignment vertical="center"/>
    </xf>
    <xf numFmtId="38" fontId="9" fillId="2" borderId="4" xfId="0" applyNumberFormat="1" applyFont="1" applyFill="1" applyBorder="1" applyAlignment="1">
      <alignment horizontal="left" vertical="center"/>
    </xf>
    <xf numFmtId="173" fontId="2" fillId="0" borderId="7" xfId="0" applyNumberFormat="1" applyFont="1" applyBorder="1">
      <alignment vertical="center"/>
    </xf>
    <xf numFmtId="10" fontId="10" fillId="0" borderId="9" xfId="0" applyNumberFormat="1" applyFont="1" applyBorder="1">
      <alignment vertical="center"/>
    </xf>
    <xf numFmtId="173" fontId="2" fillId="0" borderId="10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ZBIO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ZBIO!$D$1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ZBIO!$C$2:$C$39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ZBIO!$D$2:$D$39</c:f>
              <c:numCache>
                <c:formatCode>General</c:formatCode>
                <c:ptCount val="38"/>
                <c:pt idx="0">
                  <c:v>11.92</c:v>
                </c:pt>
                <c:pt idx="1">
                  <c:v>11.94</c:v>
                </c:pt>
                <c:pt idx="2">
                  <c:v>12.11</c:v>
                </c:pt>
                <c:pt idx="3">
                  <c:v>11.32</c:v>
                </c:pt>
                <c:pt idx="4">
                  <c:v>10.33</c:v>
                </c:pt>
                <c:pt idx="5">
                  <c:v>9.9700000000000006</c:v>
                </c:pt>
                <c:pt idx="6">
                  <c:v>9.68</c:v>
                </c:pt>
                <c:pt idx="7">
                  <c:v>9.31</c:v>
                </c:pt>
                <c:pt idx="8">
                  <c:v>9.19</c:v>
                </c:pt>
                <c:pt idx="9">
                  <c:v>9.4700000000000006</c:v>
                </c:pt>
                <c:pt idx="10">
                  <c:v>10.02</c:v>
                </c:pt>
                <c:pt idx="11">
                  <c:v>10.19</c:v>
                </c:pt>
                <c:pt idx="12">
                  <c:v>10.15</c:v>
                </c:pt>
                <c:pt idx="13">
                  <c:v>9.58</c:v>
                </c:pt>
                <c:pt idx="14">
                  <c:v>9.69</c:v>
                </c:pt>
                <c:pt idx="15">
                  <c:v>9.14</c:v>
                </c:pt>
                <c:pt idx="16">
                  <c:v>10.220000000000001</c:v>
                </c:pt>
                <c:pt idx="17">
                  <c:v>10.029999999999999</c:v>
                </c:pt>
                <c:pt idx="18">
                  <c:v>9.7899999999999991</c:v>
                </c:pt>
                <c:pt idx="19">
                  <c:v>9.9700000000000006</c:v>
                </c:pt>
                <c:pt idx="20">
                  <c:v>10.49</c:v>
                </c:pt>
                <c:pt idx="21">
                  <c:v>12.07</c:v>
                </c:pt>
                <c:pt idx="22">
                  <c:v>11.18</c:v>
                </c:pt>
                <c:pt idx="23">
                  <c:v>12.82</c:v>
                </c:pt>
                <c:pt idx="24">
                  <c:v>12.35</c:v>
                </c:pt>
                <c:pt idx="25">
                  <c:v>13.07</c:v>
                </c:pt>
                <c:pt idx="26">
                  <c:v>13.18</c:v>
                </c:pt>
                <c:pt idx="27">
                  <c:v>13.73</c:v>
                </c:pt>
                <c:pt idx="28">
                  <c:v>14.29</c:v>
                </c:pt>
                <c:pt idx="29">
                  <c:v>14.31</c:v>
                </c:pt>
                <c:pt idx="30">
                  <c:v>15.62</c:v>
                </c:pt>
                <c:pt idx="31">
                  <c:v>16.32</c:v>
                </c:pt>
                <c:pt idx="32">
                  <c:v>15.66</c:v>
                </c:pt>
                <c:pt idx="33">
                  <c:v>16.45</c:v>
                </c:pt>
                <c:pt idx="34">
                  <c:v>16.05</c:v>
                </c:pt>
                <c:pt idx="35">
                  <c:v>15.75</c:v>
                </c:pt>
                <c:pt idx="36">
                  <c:v>15.71</c:v>
                </c:pt>
                <c:pt idx="37">
                  <c:v>15.41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AD-2A47-A4B9-6854DCE6A5BE}"/>
            </c:ext>
          </c:extLst>
        </c:ser>
        <c:ser>
          <c:idx val="1"/>
          <c:order val="1"/>
          <c:tx>
            <c:strRef>
              <c:f>ZBIO!$E$1</c:f>
              <c:strCache>
                <c:ptCount val="1"/>
                <c:pt idx="0">
                  <c:v>SMA5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ZBIO!$C$2:$C$39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ZBIO!$E$2:$E$39</c:f>
              <c:numCache>
                <c:formatCode>0.00_ </c:formatCode>
                <c:ptCount val="38"/>
                <c:pt idx="5">
                  <c:v>11.523999999999999</c:v>
                </c:pt>
                <c:pt idx="6">
                  <c:v>11.133999999999999</c:v>
                </c:pt>
                <c:pt idx="7">
                  <c:v>10.681999999999999</c:v>
                </c:pt>
                <c:pt idx="8">
                  <c:v>10.122</c:v>
                </c:pt>
                <c:pt idx="9">
                  <c:v>9.6959999999999997</c:v>
                </c:pt>
                <c:pt idx="10">
                  <c:v>9.5239999999999991</c:v>
                </c:pt>
                <c:pt idx="11">
                  <c:v>9.5340000000000007</c:v>
                </c:pt>
                <c:pt idx="12">
                  <c:v>9.6359999999999992</c:v>
                </c:pt>
                <c:pt idx="13">
                  <c:v>9.8039999999999985</c:v>
                </c:pt>
                <c:pt idx="14">
                  <c:v>9.8819999999999997</c:v>
                </c:pt>
                <c:pt idx="15">
                  <c:v>9.9259999999999984</c:v>
                </c:pt>
                <c:pt idx="16">
                  <c:v>9.75</c:v>
                </c:pt>
                <c:pt idx="17">
                  <c:v>9.7560000000000002</c:v>
                </c:pt>
                <c:pt idx="18">
                  <c:v>9.7320000000000011</c:v>
                </c:pt>
                <c:pt idx="19">
                  <c:v>9.7739999999999991</c:v>
                </c:pt>
                <c:pt idx="20">
                  <c:v>9.83</c:v>
                </c:pt>
                <c:pt idx="21">
                  <c:v>10.1</c:v>
                </c:pt>
                <c:pt idx="22">
                  <c:v>10.47</c:v>
                </c:pt>
                <c:pt idx="23">
                  <c:v>10.7</c:v>
                </c:pt>
                <c:pt idx="24">
                  <c:v>11.306000000000001</c:v>
                </c:pt>
                <c:pt idx="25">
                  <c:v>11.782</c:v>
                </c:pt>
                <c:pt idx="26">
                  <c:v>12.298</c:v>
                </c:pt>
                <c:pt idx="27">
                  <c:v>12.52</c:v>
                </c:pt>
                <c:pt idx="28">
                  <c:v>13.030000000000001</c:v>
                </c:pt>
                <c:pt idx="29">
                  <c:v>13.324000000000002</c:v>
                </c:pt>
                <c:pt idx="30">
                  <c:v>13.715999999999999</c:v>
                </c:pt>
                <c:pt idx="31">
                  <c:v>14.226000000000003</c:v>
                </c:pt>
                <c:pt idx="32">
                  <c:v>14.853999999999999</c:v>
                </c:pt>
                <c:pt idx="33">
                  <c:v>15.24</c:v>
                </c:pt>
                <c:pt idx="34">
                  <c:v>15.672000000000001</c:v>
                </c:pt>
                <c:pt idx="35">
                  <c:v>16.02</c:v>
                </c:pt>
                <c:pt idx="36">
                  <c:v>16.045999999999999</c:v>
                </c:pt>
                <c:pt idx="37">
                  <c:v>15.924000000000001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AD-2A47-A4B9-6854DCE6A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084096"/>
        <c:axId val="1177419520"/>
      </c:scatterChart>
      <c:valAx>
        <c:axId val="1177084096"/>
        <c:scaling>
          <c:orientation val="minMax"/>
          <c:max val="3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TD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419520"/>
        <c:crosses val="autoZero"/>
        <c:crossBetween val="midCat"/>
      </c:valAx>
      <c:valAx>
        <c:axId val="11774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$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08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ZBIO!$C$2:$C$39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ZBIO!$C$68:$C$105</c:f>
              <c:numCache>
                <c:formatCode>General</c:formatCode>
                <c:ptCount val="38"/>
                <c:pt idx="0">
                  <c:v>3.0911336032388643</c:v>
                </c:pt>
                <c:pt idx="1">
                  <c:v>2.9361932377721818</c:v>
                </c:pt>
                <c:pt idx="2">
                  <c:v>2.9312528723055014</c:v>
                </c:pt>
                <c:pt idx="3">
                  <c:v>1.9663125068388201</c:v>
                </c:pt>
                <c:pt idx="4">
                  <c:v>0.80137214137213952</c:v>
                </c:pt>
                <c:pt idx="5">
                  <c:v>0.26643177590545797</c:v>
                </c:pt>
                <c:pt idx="6">
                  <c:v>-0.1985085895612233</c:v>
                </c:pt>
                <c:pt idx="7">
                  <c:v>-0.74344895502790465</c:v>
                </c:pt>
                <c:pt idx="8">
                  <c:v>-1.038389320494586</c:v>
                </c:pt>
                <c:pt idx="9">
                  <c:v>-0.93332968596126697</c:v>
                </c:pt>
                <c:pt idx="10">
                  <c:v>-0.55827005142794839</c:v>
                </c:pt>
                <c:pt idx="11">
                  <c:v>-0.56321041689463058</c:v>
                </c:pt>
                <c:pt idx="12">
                  <c:v>-0.77815078236131008</c:v>
                </c:pt>
                <c:pt idx="13">
                  <c:v>-1.5230911478279925</c:v>
                </c:pt>
                <c:pt idx="14">
                  <c:v>-1.5880315132946734</c:v>
                </c:pt>
                <c:pt idx="15">
                  <c:v>-2.3129718787613545</c:v>
                </c:pt>
                <c:pt idx="16">
                  <c:v>-1.4079122442280347</c:v>
                </c:pt>
                <c:pt idx="17">
                  <c:v>-1.7728526096947181</c:v>
                </c:pt>
                <c:pt idx="18">
                  <c:v>-2.1877929751613987</c:v>
                </c:pt>
                <c:pt idx="19">
                  <c:v>-2.1827333406280793</c:v>
                </c:pt>
                <c:pt idx="20">
                  <c:v>-1.8376737060947601</c:v>
                </c:pt>
                <c:pt idx="21">
                  <c:v>-0.43261407156144216</c:v>
                </c:pt>
                <c:pt idx="22">
                  <c:v>-1.4975544370281231</c:v>
                </c:pt>
                <c:pt idx="23">
                  <c:v>-3.2494802494802855E-2</c:v>
                </c:pt>
                <c:pt idx="24">
                  <c:v>-0.67743516796148562</c:v>
                </c:pt>
                <c:pt idx="25">
                  <c:v>-0.1323755334281671</c:v>
                </c:pt>
                <c:pt idx="26">
                  <c:v>-0.19731589889484802</c:v>
                </c:pt>
                <c:pt idx="27">
                  <c:v>0.17774373563847234</c:v>
                </c:pt>
                <c:pt idx="28">
                  <c:v>0.56280337017178894</c:v>
                </c:pt>
                <c:pt idx="29">
                  <c:v>0.40786300470510817</c:v>
                </c:pt>
                <c:pt idx="30">
                  <c:v>1.5429226392384265</c:v>
                </c:pt>
                <c:pt idx="31">
                  <c:v>2.0679822737717473</c:v>
                </c:pt>
                <c:pt idx="32">
                  <c:v>1.233041908305065</c:v>
                </c:pt>
                <c:pt idx="33">
                  <c:v>1.848101542838382</c:v>
                </c:pt>
                <c:pt idx="34">
                  <c:v>1.2731611773717031</c:v>
                </c:pt>
                <c:pt idx="35">
                  <c:v>0.79822081190502203</c:v>
                </c:pt>
                <c:pt idx="36">
                  <c:v>0.58328044643834076</c:v>
                </c:pt>
                <c:pt idx="37">
                  <c:v>0.10834008097165793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2-3B47-8DB8-9E4F02CBE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08960"/>
        <c:axId val="146860816"/>
      </c:scatterChart>
      <c:valAx>
        <c:axId val="21210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860816"/>
        <c:crosses val="autoZero"/>
        <c:crossBetween val="midCat"/>
      </c:valAx>
      <c:valAx>
        <c:axId val="146860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21089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</c:v>
          </c:tx>
          <c:spPr>
            <a:ln w="38100">
              <a:noFill/>
            </a:ln>
          </c:spPr>
          <c:xVal>
            <c:numRef>
              <c:f>ZBIO!$C$2:$C$39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ZBIO!$D$2:$D$39</c:f>
              <c:numCache>
                <c:formatCode>General</c:formatCode>
                <c:ptCount val="38"/>
                <c:pt idx="0">
                  <c:v>11.92</c:v>
                </c:pt>
                <c:pt idx="1">
                  <c:v>11.94</c:v>
                </c:pt>
                <c:pt idx="2">
                  <c:v>12.11</c:v>
                </c:pt>
                <c:pt idx="3">
                  <c:v>11.32</c:v>
                </c:pt>
                <c:pt idx="4">
                  <c:v>10.33</c:v>
                </c:pt>
                <c:pt idx="5">
                  <c:v>9.9700000000000006</c:v>
                </c:pt>
                <c:pt idx="6">
                  <c:v>9.68</c:v>
                </c:pt>
                <c:pt idx="7">
                  <c:v>9.31</c:v>
                </c:pt>
                <c:pt idx="8">
                  <c:v>9.19</c:v>
                </c:pt>
                <c:pt idx="9">
                  <c:v>9.4700000000000006</c:v>
                </c:pt>
                <c:pt idx="10">
                  <c:v>10.02</c:v>
                </c:pt>
                <c:pt idx="11">
                  <c:v>10.19</c:v>
                </c:pt>
                <c:pt idx="12">
                  <c:v>10.15</c:v>
                </c:pt>
                <c:pt idx="13">
                  <c:v>9.58</c:v>
                </c:pt>
                <c:pt idx="14">
                  <c:v>9.69</c:v>
                </c:pt>
                <c:pt idx="15">
                  <c:v>9.14</c:v>
                </c:pt>
                <c:pt idx="16">
                  <c:v>10.220000000000001</c:v>
                </c:pt>
                <c:pt idx="17">
                  <c:v>10.029999999999999</c:v>
                </c:pt>
                <c:pt idx="18">
                  <c:v>9.7899999999999991</c:v>
                </c:pt>
                <c:pt idx="19">
                  <c:v>9.9700000000000006</c:v>
                </c:pt>
                <c:pt idx="20">
                  <c:v>10.49</c:v>
                </c:pt>
                <c:pt idx="21">
                  <c:v>12.07</c:v>
                </c:pt>
                <c:pt idx="22">
                  <c:v>11.18</c:v>
                </c:pt>
                <c:pt idx="23">
                  <c:v>12.82</c:v>
                </c:pt>
                <c:pt idx="24">
                  <c:v>12.35</c:v>
                </c:pt>
                <c:pt idx="25">
                  <c:v>13.07</c:v>
                </c:pt>
                <c:pt idx="26">
                  <c:v>13.18</c:v>
                </c:pt>
                <c:pt idx="27">
                  <c:v>13.73</c:v>
                </c:pt>
                <c:pt idx="28">
                  <c:v>14.29</c:v>
                </c:pt>
                <c:pt idx="29">
                  <c:v>14.31</c:v>
                </c:pt>
                <c:pt idx="30">
                  <c:v>15.62</c:v>
                </c:pt>
                <c:pt idx="31">
                  <c:v>16.32</c:v>
                </c:pt>
                <c:pt idx="32">
                  <c:v>15.66</c:v>
                </c:pt>
                <c:pt idx="33">
                  <c:v>16.45</c:v>
                </c:pt>
                <c:pt idx="34">
                  <c:v>16.05</c:v>
                </c:pt>
                <c:pt idx="35">
                  <c:v>15.75</c:v>
                </c:pt>
                <c:pt idx="36">
                  <c:v>15.71</c:v>
                </c:pt>
                <c:pt idx="37">
                  <c:v>15.41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C3-4D4E-96D8-B9985F86E37F}"/>
            </c:ext>
          </c:extLst>
        </c:ser>
        <c:ser>
          <c:idx val="1"/>
          <c:order val="1"/>
          <c:tx>
            <c:v>Predicted CP</c:v>
          </c:tx>
          <c:spPr>
            <a:ln w="38100">
              <a:noFill/>
            </a:ln>
          </c:spPr>
          <c:xVal>
            <c:numRef>
              <c:f>ZBIO!$C$2:$C$39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ZBIO!$B$68:$B$105</c:f>
              <c:numCache>
                <c:formatCode>General</c:formatCode>
                <c:ptCount val="38"/>
                <c:pt idx="0">
                  <c:v>8.8288663967611356</c:v>
                </c:pt>
                <c:pt idx="1">
                  <c:v>9.0038067622278177</c:v>
                </c:pt>
                <c:pt idx="2">
                  <c:v>9.1787471276944981</c:v>
                </c:pt>
                <c:pt idx="3">
                  <c:v>9.3536874931611802</c:v>
                </c:pt>
                <c:pt idx="4">
                  <c:v>9.5286278586278605</c:v>
                </c:pt>
                <c:pt idx="5">
                  <c:v>9.7035682240945427</c:v>
                </c:pt>
                <c:pt idx="6">
                  <c:v>9.878508589561223</c:v>
                </c:pt>
                <c:pt idx="7">
                  <c:v>10.053448955027905</c:v>
                </c:pt>
                <c:pt idx="8">
                  <c:v>10.228389320494585</c:v>
                </c:pt>
                <c:pt idx="9">
                  <c:v>10.403329685961268</c:v>
                </c:pt>
                <c:pt idx="10">
                  <c:v>10.578270051427948</c:v>
                </c:pt>
                <c:pt idx="11">
                  <c:v>10.75321041689463</c:v>
                </c:pt>
                <c:pt idx="12">
                  <c:v>10.92815078236131</c:v>
                </c:pt>
                <c:pt idx="13">
                  <c:v>11.103091147827993</c:v>
                </c:pt>
                <c:pt idx="14">
                  <c:v>11.278031513294673</c:v>
                </c:pt>
                <c:pt idx="15">
                  <c:v>11.452971878761355</c:v>
                </c:pt>
                <c:pt idx="16">
                  <c:v>11.627912244228035</c:v>
                </c:pt>
                <c:pt idx="17">
                  <c:v>11.802852609694718</c:v>
                </c:pt>
                <c:pt idx="18">
                  <c:v>11.977792975161398</c:v>
                </c:pt>
                <c:pt idx="19">
                  <c:v>12.15273334062808</c:v>
                </c:pt>
                <c:pt idx="20">
                  <c:v>12.32767370609476</c:v>
                </c:pt>
                <c:pt idx="21">
                  <c:v>12.502614071561442</c:v>
                </c:pt>
                <c:pt idx="22">
                  <c:v>12.677554437028123</c:v>
                </c:pt>
                <c:pt idx="23">
                  <c:v>12.852494802494803</c:v>
                </c:pt>
                <c:pt idx="24">
                  <c:v>13.027435167961485</c:v>
                </c:pt>
                <c:pt idx="25">
                  <c:v>13.202375533428167</c:v>
                </c:pt>
                <c:pt idx="26">
                  <c:v>13.377315898894848</c:v>
                </c:pt>
                <c:pt idx="27">
                  <c:v>13.552256264361528</c:v>
                </c:pt>
                <c:pt idx="28">
                  <c:v>13.72719662982821</c:v>
                </c:pt>
                <c:pt idx="29">
                  <c:v>13.902136995294892</c:v>
                </c:pt>
                <c:pt idx="30">
                  <c:v>14.077077360761573</c:v>
                </c:pt>
                <c:pt idx="31">
                  <c:v>14.252017726228253</c:v>
                </c:pt>
                <c:pt idx="32">
                  <c:v>14.426958091694935</c:v>
                </c:pt>
                <c:pt idx="33">
                  <c:v>14.601898457161617</c:v>
                </c:pt>
                <c:pt idx="34">
                  <c:v>14.776838822628298</c:v>
                </c:pt>
                <c:pt idx="35">
                  <c:v>14.951779188094978</c:v>
                </c:pt>
                <c:pt idx="36">
                  <c:v>15.12671955356166</c:v>
                </c:pt>
                <c:pt idx="37">
                  <c:v>15.301659919028342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C3-4D4E-96D8-B9985F86E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84064"/>
        <c:axId val="146956384"/>
      </c:scatterChart>
      <c:valAx>
        <c:axId val="95184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956384"/>
        <c:crosses val="autoZero"/>
        <c:crossBetween val="midCat"/>
      </c:valAx>
      <c:valAx>
        <c:axId val="146956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1840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Z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Z!$D$1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Z!$C$2:$C$39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Z!$D$2:$D$39</c:f>
              <c:numCache>
                <c:formatCode>0.00</c:formatCode>
                <c:ptCount val="38"/>
                <c:pt idx="0">
                  <c:v>70.28</c:v>
                </c:pt>
                <c:pt idx="1">
                  <c:v>71.510000000000005</c:v>
                </c:pt>
                <c:pt idx="2">
                  <c:v>71.12</c:v>
                </c:pt>
                <c:pt idx="3">
                  <c:v>71.77</c:v>
                </c:pt>
                <c:pt idx="4">
                  <c:v>70.37</c:v>
                </c:pt>
                <c:pt idx="5">
                  <c:v>70.94</c:v>
                </c:pt>
                <c:pt idx="6">
                  <c:v>67.63</c:v>
                </c:pt>
                <c:pt idx="7">
                  <c:v>67.53</c:v>
                </c:pt>
                <c:pt idx="8">
                  <c:v>68.239999999999995</c:v>
                </c:pt>
                <c:pt idx="9">
                  <c:v>69.06</c:v>
                </c:pt>
                <c:pt idx="10">
                  <c:v>70.22</c:v>
                </c:pt>
                <c:pt idx="11">
                  <c:v>68.45</c:v>
                </c:pt>
                <c:pt idx="12">
                  <c:v>69.22</c:v>
                </c:pt>
                <c:pt idx="13">
                  <c:v>69.739999999999995</c:v>
                </c:pt>
                <c:pt idx="14">
                  <c:v>70.05</c:v>
                </c:pt>
                <c:pt idx="15">
                  <c:v>71.5</c:v>
                </c:pt>
                <c:pt idx="16">
                  <c:v>71</c:v>
                </c:pt>
                <c:pt idx="17">
                  <c:v>72.53</c:v>
                </c:pt>
                <c:pt idx="18">
                  <c:v>72.39</c:v>
                </c:pt>
                <c:pt idx="19">
                  <c:v>72.62</c:v>
                </c:pt>
                <c:pt idx="20">
                  <c:v>75.510000000000005</c:v>
                </c:pt>
                <c:pt idx="21">
                  <c:v>78.91</c:v>
                </c:pt>
                <c:pt idx="22">
                  <c:v>78.010000000000005</c:v>
                </c:pt>
                <c:pt idx="23">
                  <c:v>78.87</c:v>
                </c:pt>
                <c:pt idx="24">
                  <c:v>76.62</c:v>
                </c:pt>
                <c:pt idx="25">
                  <c:v>76.95</c:v>
                </c:pt>
                <c:pt idx="26">
                  <c:v>77.599999999999994</c:v>
                </c:pt>
                <c:pt idx="27">
                  <c:v>77.459999999999994</c:v>
                </c:pt>
                <c:pt idx="28">
                  <c:v>77.760000000000005</c:v>
                </c:pt>
                <c:pt idx="29">
                  <c:v>80.180000000000007</c:v>
                </c:pt>
                <c:pt idx="30">
                  <c:v>80.56</c:v>
                </c:pt>
                <c:pt idx="31">
                  <c:v>80.400000000000006</c:v>
                </c:pt>
                <c:pt idx="32">
                  <c:v>81.16</c:v>
                </c:pt>
                <c:pt idx="33">
                  <c:v>81.819999999999993</c:v>
                </c:pt>
                <c:pt idx="34">
                  <c:v>79.84</c:v>
                </c:pt>
                <c:pt idx="35">
                  <c:v>79.03</c:v>
                </c:pt>
                <c:pt idx="36">
                  <c:v>79.55</c:v>
                </c:pt>
                <c:pt idx="37">
                  <c:v>80.2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C4-1C49-A06D-C40F5B1584AF}"/>
            </c:ext>
          </c:extLst>
        </c:ser>
        <c:ser>
          <c:idx val="1"/>
          <c:order val="1"/>
          <c:tx>
            <c:strRef>
              <c:f>Z!$E$1</c:f>
              <c:strCache>
                <c:ptCount val="1"/>
                <c:pt idx="0">
                  <c:v>SMA5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Z!$C$2:$C$39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Z!$E$2:$E$39</c:f>
              <c:numCache>
                <c:formatCode>0.00</c:formatCode>
                <c:ptCount val="38"/>
                <c:pt idx="5">
                  <c:v>71.010000000000005</c:v>
                </c:pt>
                <c:pt idx="6">
                  <c:v>71.141999999999996</c:v>
                </c:pt>
                <c:pt idx="7">
                  <c:v>70.366</c:v>
                </c:pt>
                <c:pt idx="8">
                  <c:v>69.647999999999996</c:v>
                </c:pt>
                <c:pt idx="9">
                  <c:v>68.942000000000007</c:v>
                </c:pt>
                <c:pt idx="10">
                  <c:v>68.679999999999993</c:v>
                </c:pt>
                <c:pt idx="11">
                  <c:v>68.535999999999987</c:v>
                </c:pt>
                <c:pt idx="12">
                  <c:v>68.699999999999989</c:v>
                </c:pt>
                <c:pt idx="13">
                  <c:v>69.038000000000011</c:v>
                </c:pt>
                <c:pt idx="14">
                  <c:v>69.338000000000008</c:v>
                </c:pt>
                <c:pt idx="15">
                  <c:v>69.536000000000001</c:v>
                </c:pt>
                <c:pt idx="16">
                  <c:v>69.792000000000002</c:v>
                </c:pt>
                <c:pt idx="17">
                  <c:v>70.301999999999992</c:v>
                </c:pt>
                <c:pt idx="18">
                  <c:v>70.963999999999984</c:v>
                </c:pt>
                <c:pt idx="19">
                  <c:v>71.494</c:v>
                </c:pt>
                <c:pt idx="20">
                  <c:v>72.00800000000001</c:v>
                </c:pt>
                <c:pt idx="21">
                  <c:v>72.81</c:v>
                </c:pt>
                <c:pt idx="22">
                  <c:v>74.39200000000001</c:v>
                </c:pt>
                <c:pt idx="23">
                  <c:v>75.487999999999985</c:v>
                </c:pt>
                <c:pt idx="24">
                  <c:v>76.784000000000006</c:v>
                </c:pt>
                <c:pt idx="25">
                  <c:v>77.584000000000003</c:v>
                </c:pt>
                <c:pt idx="26">
                  <c:v>77.872</c:v>
                </c:pt>
                <c:pt idx="27">
                  <c:v>77.609999999999985</c:v>
                </c:pt>
                <c:pt idx="28">
                  <c:v>77.499999999999986</c:v>
                </c:pt>
                <c:pt idx="29">
                  <c:v>77.277999999999992</c:v>
                </c:pt>
                <c:pt idx="30">
                  <c:v>77.989999999999995</c:v>
                </c:pt>
                <c:pt idx="31">
                  <c:v>78.712000000000003</c:v>
                </c:pt>
                <c:pt idx="32">
                  <c:v>79.272000000000006</c:v>
                </c:pt>
                <c:pt idx="33">
                  <c:v>80.011999999999986</c:v>
                </c:pt>
                <c:pt idx="34">
                  <c:v>80.823999999999998</c:v>
                </c:pt>
                <c:pt idx="35">
                  <c:v>80.756</c:v>
                </c:pt>
                <c:pt idx="36">
                  <c:v>80.45</c:v>
                </c:pt>
                <c:pt idx="37">
                  <c:v>80.28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C4-1C49-A06D-C40F5B158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084096"/>
        <c:axId val="1177419520"/>
      </c:scatterChart>
      <c:valAx>
        <c:axId val="1177084096"/>
        <c:scaling>
          <c:orientation val="minMax"/>
          <c:max val="3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TD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419520"/>
        <c:crosses val="autoZero"/>
        <c:crossBetween val="midCat"/>
      </c:valAx>
      <c:valAx>
        <c:axId val="11774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$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084096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Z!$C$2:$C$39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Z!$C$68:$C$105</c:f>
              <c:numCache>
                <c:formatCode>General</c:formatCode>
                <c:ptCount val="38"/>
                <c:pt idx="0">
                  <c:v>2.8042510121457411</c:v>
                </c:pt>
                <c:pt idx="1">
                  <c:v>3.6608206587153944</c:v>
                </c:pt>
                <c:pt idx="2">
                  <c:v>2.8973903052850289</c:v>
                </c:pt>
                <c:pt idx="3">
                  <c:v>3.1739599518546697</c:v>
                </c:pt>
                <c:pt idx="4">
                  <c:v>1.4005295984243276</c:v>
                </c:pt>
                <c:pt idx="5">
                  <c:v>1.59709924499397</c:v>
                </c:pt>
                <c:pt idx="6">
                  <c:v>-2.0863311084363829</c:v>
                </c:pt>
                <c:pt idx="7">
                  <c:v>-2.5597614618667279</c:v>
                </c:pt>
                <c:pt idx="8">
                  <c:v>-2.2231918152970991</c:v>
                </c:pt>
                <c:pt idx="9">
                  <c:v>-1.7766221687274424</c:v>
                </c:pt>
                <c:pt idx="10">
                  <c:v>-0.99005252215779649</c:v>
                </c:pt>
                <c:pt idx="11">
                  <c:v>-3.1334828755881432</c:v>
                </c:pt>
                <c:pt idx="12">
                  <c:v>-2.7369132290184979</c:v>
                </c:pt>
                <c:pt idx="13">
                  <c:v>-2.5903435824488668</c:v>
                </c:pt>
                <c:pt idx="14">
                  <c:v>-2.6537739358792152</c:v>
                </c:pt>
                <c:pt idx="15">
                  <c:v>-1.577204289309563</c:v>
                </c:pt>
                <c:pt idx="16">
                  <c:v>-2.4506346427399137</c:v>
                </c:pt>
                <c:pt idx="17">
                  <c:v>-1.2940649961702633</c:v>
                </c:pt>
                <c:pt idx="18">
                  <c:v>-1.8074953496006145</c:v>
                </c:pt>
                <c:pt idx="19">
                  <c:v>-1.9509257030309755</c:v>
                </c:pt>
                <c:pt idx="20">
                  <c:v>0.56564394353867442</c:v>
                </c:pt>
                <c:pt idx="21">
                  <c:v>3.5922135901083152</c:v>
                </c:pt>
                <c:pt idx="22">
                  <c:v>2.318783236677973</c:v>
                </c:pt>
                <c:pt idx="23">
                  <c:v>2.8053528832476218</c:v>
                </c:pt>
                <c:pt idx="24">
                  <c:v>0.18192252981725687</c:v>
                </c:pt>
                <c:pt idx="25">
                  <c:v>0.13849217638690448</c:v>
                </c:pt>
                <c:pt idx="26">
                  <c:v>0.41506182295654526</c:v>
                </c:pt>
                <c:pt idx="27">
                  <c:v>-9.8368530473806004E-2</c:v>
                </c:pt>
                <c:pt idx="28">
                  <c:v>-0.17179888390414533</c:v>
                </c:pt>
                <c:pt idx="29">
                  <c:v>1.8747707626654915</c:v>
                </c:pt>
                <c:pt idx="30">
                  <c:v>1.8813404092351362</c:v>
                </c:pt>
                <c:pt idx="31">
                  <c:v>1.347910055804789</c:v>
                </c:pt>
                <c:pt idx="32">
                  <c:v>1.7344797023744292</c:v>
                </c:pt>
                <c:pt idx="33">
                  <c:v>2.0210493489440751</c:v>
                </c:pt>
                <c:pt idx="34">
                  <c:v>-0.3323810044862654</c:v>
                </c:pt>
                <c:pt idx="35">
                  <c:v>-1.5158113579166326</c:v>
                </c:pt>
                <c:pt idx="36">
                  <c:v>-1.3692417113469872</c:v>
                </c:pt>
                <c:pt idx="37">
                  <c:v>-1.0926720647773323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57-0D41-AC97-D35A36D33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320671"/>
        <c:axId val="1991521631"/>
      </c:scatterChart>
      <c:valAx>
        <c:axId val="1991320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1521631"/>
        <c:crosses val="autoZero"/>
        <c:crossBetween val="midCat"/>
      </c:valAx>
      <c:valAx>
        <c:axId val="19915216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9132067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</c:v>
          </c:tx>
          <c:spPr>
            <a:ln w="38100">
              <a:noFill/>
            </a:ln>
          </c:spPr>
          <c:xVal>
            <c:numRef>
              <c:f>Z!$C$2:$C$39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Z!$D$2:$D$39</c:f>
              <c:numCache>
                <c:formatCode>0.00</c:formatCode>
                <c:ptCount val="38"/>
                <c:pt idx="0">
                  <c:v>70.28</c:v>
                </c:pt>
                <c:pt idx="1">
                  <c:v>71.510000000000005</c:v>
                </c:pt>
                <c:pt idx="2">
                  <c:v>71.12</c:v>
                </c:pt>
                <c:pt idx="3">
                  <c:v>71.77</c:v>
                </c:pt>
                <c:pt idx="4">
                  <c:v>70.37</c:v>
                </c:pt>
                <c:pt idx="5">
                  <c:v>70.94</c:v>
                </c:pt>
                <c:pt idx="6">
                  <c:v>67.63</c:v>
                </c:pt>
                <c:pt idx="7">
                  <c:v>67.53</c:v>
                </c:pt>
                <c:pt idx="8">
                  <c:v>68.239999999999995</c:v>
                </c:pt>
                <c:pt idx="9">
                  <c:v>69.06</c:v>
                </c:pt>
                <c:pt idx="10">
                  <c:v>70.22</c:v>
                </c:pt>
                <c:pt idx="11">
                  <c:v>68.45</c:v>
                </c:pt>
                <c:pt idx="12">
                  <c:v>69.22</c:v>
                </c:pt>
                <c:pt idx="13">
                  <c:v>69.739999999999995</c:v>
                </c:pt>
                <c:pt idx="14">
                  <c:v>70.05</c:v>
                </c:pt>
                <c:pt idx="15">
                  <c:v>71.5</c:v>
                </c:pt>
                <c:pt idx="16">
                  <c:v>71</c:v>
                </c:pt>
                <c:pt idx="17">
                  <c:v>72.53</c:v>
                </c:pt>
                <c:pt idx="18">
                  <c:v>72.39</c:v>
                </c:pt>
                <c:pt idx="19">
                  <c:v>72.62</c:v>
                </c:pt>
                <c:pt idx="20">
                  <c:v>75.510000000000005</c:v>
                </c:pt>
                <c:pt idx="21">
                  <c:v>78.91</c:v>
                </c:pt>
                <c:pt idx="22">
                  <c:v>78.010000000000005</c:v>
                </c:pt>
                <c:pt idx="23">
                  <c:v>78.87</c:v>
                </c:pt>
                <c:pt idx="24">
                  <c:v>76.62</c:v>
                </c:pt>
                <c:pt idx="25">
                  <c:v>76.95</c:v>
                </c:pt>
                <c:pt idx="26">
                  <c:v>77.599999999999994</c:v>
                </c:pt>
                <c:pt idx="27">
                  <c:v>77.459999999999994</c:v>
                </c:pt>
                <c:pt idx="28">
                  <c:v>77.760000000000005</c:v>
                </c:pt>
                <c:pt idx="29">
                  <c:v>80.180000000000007</c:v>
                </c:pt>
                <c:pt idx="30">
                  <c:v>80.56</c:v>
                </c:pt>
                <c:pt idx="31">
                  <c:v>80.400000000000006</c:v>
                </c:pt>
                <c:pt idx="32">
                  <c:v>81.16</c:v>
                </c:pt>
                <c:pt idx="33">
                  <c:v>81.819999999999993</c:v>
                </c:pt>
                <c:pt idx="34">
                  <c:v>79.84</c:v>
                </c:pt>
                <c:pt idx="35">
                  <c:v>79.03</c:v>
                </c:pt>
                <c:pt idx="36">
                  <c:v>79.55</c:v>
                </c:pt>
                <c:pt idx="37">
                  <c:v>80.2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2-F94A-BB05-6039F1527F6E}"/>
            </c:ext>
          </c:extLst>
        </c:ser>
        <c:ser>
          <c:idx val="1"/>
          <c:order val="1"/>
          <c:tx>
            <c:v>Predicted CP</c:v>
          </c:tx>
          <c:spPr>
            <a:ln w="38100">
              <a:noFill/>
            </a:ln>
          </c:spPr>
          <c:xVal>
            <c:numRef>
              <c:f>Z!$C$2:$C$39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Z!$B$68:$B$105</c:f>
              <c:numCache>
                <c:formatCode>General</c:formatCode>
                <c:ptCount val="38"/>
                <c:pt idx="0">
                  <c:v>67.47574898785426</c:v>
                </c:pt>
                <c:pt idx="1">
                  <c:v>67.849179341284611</c:v>
                </c:pt>
                <c:pt idx="2">
                  <c:v>68.222609694714976</c:v>
                </c:pt>
                <c:pt idx="3">
                  <c:v>68.596040048145326</c:v>
                </c:pt>
                <c:pt idx="4">
                  <c:v>68.969470401575677</c:v>
                </c:pt>
                <c:pt idx="5">
                  <c:v>69.342900755006028</c:v>
                </c:pt>
                <c:pt idx="6">
                  <c:v>69.716331108436378</c:v>
                </c:pt>
                <c:pt idx="7">
                  <c:v>70.089761461866729</c:v>
                </c:pt>
                <c:pt idx="8">
                  <c:v>70.463191815297094</c:v>
                </c:pt>
                <c:pt idx="9">
                  <c:v>70.836622168727445</c:v>
                </c:pt>
                <c:pt idx="10">
                  <c:v>71.210052522157795</c:v>
                </c:pt>
                <c:pt idx="11">
                  <c:v>71.583482875588146</c:v>
                </c:pt>
                <c:pt idx="12">
                  <c:v>71.956913229018497</c:v>
                </c:pt>
                <c:pt idx="13">
                  <c:v>72.330343582448862</c:v>
                </c:pt>
                <c:pt idx="14">
                  <c:v>72.703773935879212</c:v>
                </c:pt>
                <c:pt idx="15">
                  <c:v>73.077204289309563</c:v>
                </c:pt>
                <c:pt idx="16">
                  <c:v>73.450634642739914</c:v>
                </c:pt>
                <c:pt idx="17">
                  <c:v>73.824064996170264</c:v>
                </c:pt>
                <c:pt idx="18">
                  <c:v>74.197495349600615</c:v>
                </c:pt>
                <c:pt idx="19">
                  <c:v>74.57092570303098</c:v>
                </c:pt>
                <c:pt idx="20">
                  <c:v>74.944356056461331</c:v>
                </c:pt>
                <c:pt idx="21">
                  <c:v>75.317786409891681</c:v>
                </c:pt>
                <c:pt idx="22">
                  <c:v>75.691216763322032</c:v>
                </c:pt>
                <c:pt idx="23">
                  <c:v>76.064647116752383</c:v>
                </c:pt>
                <c:pt idx="24">
                  <c:v>76.438077470182748</c:v>
                </c:pt>
                <c:pt idx="25">
                  <c:v>76.811507823613098</c:v>
                </c:pt>
                <c:pt idx="26">
                  <c:v>77.184938177043449</c:v>
                </c:pt>
                <c:pt idx="27">
                  <c:v>77.5583685304738</c:v>
                </c:pt>
                <c:pt idx="28">
                  <c:v>77.93179888390415</c:v>
                </c:pt>
                <c:pt idx="29">
                  <c:v>78.305229237334515</c:v>
                </c:pt>
                <c:pt idx="30">
                  <c:v>78.678659590764866</c:v>
                </c:pt>
                <c:pt idx="31">
                  <c:v>79.052089944195217</c:v>
                </c:pt>
                <c:pt idx="32">
                  <c:v>79.425520297625567</c:v>
                </c:pt>
                <c:pt idx="33">
                  <c:v>79.798950651055918</c:v>
                </c:pt>
                <c:pt idx="34">
                  <c:v>80.172381004486269</c:v>
                </c:pt>
                <c:pt idx="35">
                  <c:v>80.545811357916634</c:v>
                </c:pt>
                <c:pt idx="36">
                  <c:v>80.919241711346984</c:v>
                </c:pt>
                <c:pt idx="37">
                  <c:v>81.292672064777335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2-F94A-BB05-6039F1527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13920"/>
        <c:axId val="95907824"/>
      </c:scatterChart>
      <c:valAx>
        <c:axId val="95913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5907824"/>
        <c:crosses val="autoZero"/>
        <c:crossBetween val="midCat"/>
      </c:valAx>
      <c:valAx>
        <c:axId val="95907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591392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ZBRA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ZBRA!$D$1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ZBRA!$C$2:$C$39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ZBRA!$D$2:$D$39</c:f>
              <c:numCache>
                <c:formatCode>General</c:formatCode>
                <c:ptCount val="38"/>
                <c:pt idx="0">
                  <c:v>298.63</c:v>
                </c:pt>
                <c:pt idx="1">
                  <c:v>299.56</c:v>
                </c:pt>
                <c:pt idx="2">
                  <c:v>292.82</c:v>
                </c:pt>
                <c:pt idx="3">
                  <c:v>292.68</c:v>
                </c:pt>
                <c:pt idx="4">
                  <c:v>283.61</c:v>
                </c:pt>
                <c:pt idx="5">
                  <c:v>293.06</c:v>
                </c:pt>
                <c:pt idx="6">
                  <c:v>289.36</c:v>
                </c:pt>
                <c:pt idx="7">
                  <c:v>291.73</c:v>
                </c:pt>
                <c:pt idx="8">
                  <c:v>294.04000000000002</c:v>
                </c:pt>
                <c:pt idx="9">
                  <c:v>296.25</c:v>
                </c:pt>
                <c:pt idx="10">
                  <c:v>298.94</c:v>
                </c:pt>
                <c:pt idx="11">
                  <c:v>303.05</c:v>
                </c:pt>
                <c:pt idx="12">
                  <c:v>308.32</c:v>
                </c:pt>
                <c:pt idx="13">
                  <c:v>309.26</c:v>
                </c:pt>
                <c:pt idx="14">
                  <c:v>308.36</c:v>
                </c:pt>
                <c:pt idx="15">
                  <c:v>315.48</c:v>
                </c:pt>
                <c:pt idx="16">
                  <c:v>320.39</c:v>
                </c:pt>
                <c:pt idx="17">
                  <c:v>323.72000000000003</c:v>
                </c:pt>
                <c:pt idx="18">
                  <c:v>317.11</c:v>
                </c:pt>
                <c:pt idx="19">
                  <c:v>323.06</c:v>
                </c:pt>
                <c:pt idx="20">
                  <c:v>321.77999999999997</c:v>
                </c:pt>
                <c:pt idx="21">
                  <c:v>330.35</c:v>
                </c:pt>
                <c:pt idx="22">
                  <c:v>327.14</c:v>
                </c:pt>
                <c:pt idx="23">
                  <c:v>322.83</c:v>
                </c:pt>
                <c:pt idx="24">
                  <c:v>319.55</c:v>
                </c:pt>
                <c:pt idx="25">
                  <c:v>319.47000000000003</c:v>
                </c:pt>
                <c:pt idx="26">
                  <c:v>329.9</c:v>
                </c:pt>
                <c:pt idx="27">
                  <c:v>331.73</c:v>
                </c:pt>
                <c:pt idx="28">
                  <c:v>328.38</c:v>
                </c:pt>
                <c:pt idx="29">
                  <c:v>328.1</c:v>
                </c:pt>
                <c:pt idx="30">
                  <c:v>336.77</c:v>
                </c:pt>
                <c:pt idx="31">
                  <c:v>333.4</c:v>
                </c:pt>
                <c:pt idx="32">
                  <c:v>335.69</c:v>
                </c:pt>
                <c:pt idx="33">
                  <c:v>334.69</c:v>
                </c:pt>
                <c:pt idx="34">
                  <c:v>331.6</c:v>
                </c:pt>
                <c:pt idx="35">
                  <c:v>332.39</c:v>
                </c:pt>
                <c:pt idx="36">
                  <c:v>339.02</c:v>
                </c:pt>
                <c:pt idx="37">
                  <c:v>335.24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30-2F4D-844F-78E81C784080}"/>
            </c:ext>
          </c:extLst>
        </c:ser>
        <c:ser>
          <c:idx val="1"/>
          <c:order val="1"/>
          <c:tx>
            <c:strRef>
              <c:f>ZBRA!$E$1</c:f>
              <c:strCache>
                <c:ptCount val="1"/>
                <c:pt idx="0">
                  <c:v>SMA5	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ZBRA!$C$2:$C$39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ZBRA!$E$2:$E$39</c:f>
              <c:numCache>
                <c:formatCode>General</c:formatCode>
                <c:ptCount val="38"/>
                <c:pt idx="5">
                  <c:v>293.46000000000004</c:v>
                </c:pt>
                <c:pt idx="6">
                  <c:v>292.346</c:v>
                </c:pt>
                <c:pt idx="7">
                  <c:v>290.30600000000004</c:v>
                </c:pt>
                <c:pt idx="8">
                  <c:v>290.08800000000002</c:v>
                </c:pt>
                <c:pt idx="9">
                  <c:v>290.36</c:v>
                </c:pt>
                <c:pt idx="10">
                  <c:v>292.88800000000003</c:v>
                </c:pt>
                <c:pt idx="11">
                  <c:v>294.06400000000002</c:v>
                </c:pt>
                <c:pt idx="12">
                  <c:v>296.80200000000002</c:v>
                </c:pt>
                <c:pt idx="13">
                  <c:v>300.12</c:v>
                </c:pt>
                <c:pt idx="14">
                  <c:v>303.16399999999999</c:v>
                </c:pt>
                <c:pt idx="15">
                  <c:v>305.58599999999996</c:v>
                </c:pt>
                <c:pt idx="16">
                  <c:v>308.89400000000001</c:v>
                </c:pt>
                <c:pt idx="17">
                  <c:v>312.36199999999997</c:v>
                </c:pt>
                <c:pt idx="18">
                  <c:v>315.44200000000001</c:v>
                </c:pt>
                <c:pt idx="19">
                  <c:v>317.012</c:v>
                </c:pt>
                <c:pt idx="20">
                  <c:v>319.952</c:v>
                </c:pt>
                <c:pt idx="21">
                  <c:v>321.21199999999999</c:v>
                </c:pt>
                <c:pt idx="22">
                  <c:v>323.20400000000001</c:v>
                </c:pt>
                <c:pt idx="23">
                  <c:v>323.88800000000003</c:v>
                </c:pt>
                <c:pt idx="24">
                  <c:v>325.03199999999998</c:v>
                </c:pt>
                <c:pt idx="25">
                  <c:v>324.33</c:v>
                </c:pt>
                <c:pt idx="26">
                  <c:v>323.86799999999999</c:v>
                </c:pt>
                <c:pt idx="27">
                  <c:v>323.77799999999996</c:v>
                </c:pt>
                <c:pt idx="28">
                  <c:v>324.69600000000003</c:v>
                </c:pt>
                <c:pt idx="29">
                  <c:v>325.80600000000004</c:v>
                </c:pt>
                <c:pt idx="30">
                  <c:v>327.51599999999996</c:v>
                </c:pt>
                <c:pt idx="31">
                  <c:v>330.976</c:v>
                </c:pt>
                <c:pt idx="32">
                  <c:v>331.67600000000004</c:v>
                </c:pt>
                <c:pt idx="33">
                  <c:v>332.46800000000002</c:v>
                </c:pt>
                <c:pt idx="34">
                  <c:v>333.73</c:v>
                </c:pt>
                <c:pt idx="35">
                  <c:v>334.43</c:v>
                </c:pt>
                <c:pt idx="36">
                  <c:v>333.55399999999997</c:v>
                </c:pt>
                <c:pt idx="37">
                  <c:v>334.678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30-2F4D-844F-78E81C784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084096"/>
        <c:axId val="1177419520"/>
      </c:scatterChart>
      <c:valAx>
        <c:axId val="1177084096"/>
        <c:scaling>
          <c:orientation val="minMax"/>
          <c:max val="3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TD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419520"/>
        <c:crosses val="autoZero"/>
        <c:crossBetween val="midCat"/>
      </c:valAx>
      <c:valAx>
        <c:axId val="11774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$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084096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ZBRA!$C$2:$C$39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ZBRA!$C$68:$C$105</c:f>
              <c:numCache>
                <c:formatCode>General</c:formatCode>
                <c:ptCount val="38"/>
                <c:pt idx="0">
                  <c:v>8.8650202429149658</c:v>
                </c:pt>
                <c:pt idx="1">
                  <c:v>8.3919039282196763</c:v>
                </c:pt>
                <c:pt idx="2">
                  <c:v>0.2487876135244278</c:v>
                </c:pt>
                <c:pt idx="3">
                  <c:v>-1.2943287011708549</c:v>
                </c:pt>
                <c:pt idx="4">
                  <c:v>-11.767445015866087</c:v>
                </c:pt>
                <c:pt idx="5">
                  <c:v>-3.7205613305613383</c:v>
                </c:pt>
                <c:pt idx="6">
                  <c:v>-8.8236776452566232</c:v>
                </c:pt>
                <c:pt idx="7">
                  <c:v>-7.8567939599518581</c:v>
                </c:pt>
                <c:pt idx="8">
                  <c:v>-6.9499102746471522</c:v>
                </c:pt>
                <c:pt idx="9">
                  <c:v>-6.1430265893424121</c:v>
                </c:pt>
                <c:pt idx="10">
                  <c:v>-4.8561429040376538</c:v>
                </c:pt>
                <c:pt idx="11">
                  <c:v>-2.1492592187329365</c:v>
                </c:pt>
                <c:pt idx="12">
                  <c:v>1.7176244665718059</c:v>
                </c:pt>
                <c:pt idx="13">
                  <c:v>1.2545081518765073</c:v>
                </c:pt>
                <c:pt idx="14">
                  <c:v>-1.0486081628187094</c:v>
                </c:pt>
                <c:pt idx="15">
                  <c:v>4.6682755224860557</c:v>
                </c:pt>
                <c:pt idx="16">
                  <c:v>8.1751592077907276</c:v>
                </c:pt>
                <c:pt idx="17">
                  <c:v>10.102042893095529</c:v>
                </c:pt>
                <c:pt idx="18">
                  <c:v>2.0889265784002191</c:v>
                </c:pt>
                <c:pt idx="19">
                  <c:v>6.6358102637049683</c:v>
                </c:pt>
                <c:pt idx="20">
                  <c:v>3.9526939490096993</c:v>
                </c:pt>
                <c:pt idx="21">
                  <c:v>11.119577634314453</c:v>
                </c:pt>
                <c:pt idx="22">
                  <c:v>6.5064613196191772</c:v>
                </c:pt>
                <c:pt idx="23">
                  <c:v>0.79334500492387861</c:v>
                </c:pt>
                <c:pt idx="24">
                  <c:v>-3.8897713097713336</c:v>
                </c:pt>
                <c:pt idx="25">
                  <c:v>-5.3728876244665571</c:v>
                </c:pt>
                <c:pt idx="26">
                  <c:v>3.6539960608380966</c:v>
                </c:pt>
                <c:pt idx="27">
                  <c:v>4.0808797461428981</c:v>
                </c:pt>
                <c:pt idx="28">
                  <c:v>-0.67223656855242098</c:v>
                </c:pt>
                <c:pt idx="29">
                  <c:v>-2.3553528832476331</c:v>
                </c:pt>
                <c:pt idx="30">
                  <c:v>4.9115308020570865</c:v>
                </c:pt>
                <c:pt idx="31">
                  <c:v>0.13841448736178563</c:v>
                </c:pt>
                <c:pt idx="32">
                  <c:v>1.0252981726665666</c:v>
                </c:pt>
                <c:pt idx="33">
                  <c:v>-1.3778181420287297</c:v>
                </c:pt>
                <c:pt idx="34">
                  <c:v>-5.8709344567239441</c:v>
                </c:pt>
                <c:pt idx="35">
                  <c:v>-6.4840507714192199</c:v>
                </c:pt>
                <c:pt idx="36">
                  <c:v>-1.2571670861145208</c:v>
                </c:pt>
                <c:pt idx="37">
                  <c:v>-6.4402834008097329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21-EB43-AA80-0D7FC7BC5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196336"/>
        <c:axId val="1884684320"/>
      </c:scatterChart>
      <c:valAx>
        <c:axId val="1920196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4684320"/>
        <c:crosses val="autoZero"/>
        <c:crossBetween val="midCat"/>
      </c:valAx>
      <c:valAx>
        <c:axId val="18846843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019633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</c:v>
          </c:tx>
          <c:spPr>
            <a:ln w="38100">
              <a:noFill/>
            </a:ln>
          </c:spPr>
          <c:xVal>
            <c:numRef>
              <c:f>ZBRA!$C$2:$C$39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ZBRA!$D$2:$D$39</c:f>
              <c:numCache>
                <c:formatCode>General</c:formatCode>
                <c:ptCount val="38"/>
                <c:pt idx="0">
                  <c:v>298.63</c:v>
                </c:pt>
                <c:pt idx="1">
                  <c:v>299.56</c:v>
                </c:pt>
                <c:pt idx="2">
                  <c:v>292.82</c:v>
                </c:pt>
                <c:pt idx="3">
                  <c:v>292.68</c:v>
                </c:pt>
                <c:pt idx="4">
                  <c:v>283.61</c:v>
                </c:pt>
                <c:pt idx="5">
                  <c:v>293.06</c:v>
                </c:pt>
                <c:pt idx="6">
                  <c:v>289.36</c:v>
                </c:pt>
                <c:pt idx="7">
                  <c:v>291.73</c:v>
                </c:pt>
                <c:pt idx="8">
                  <c:v>294.04000000000002</c:v>
                </c:pt>
                <c:pt idx="9">
                  <c:v>296.25</c:v>
                </c:pt>
                <c:pt idx="10">
                  <c:v>298.94</c:v>
                </c:pt>
                <c:pt idx="11">
                  <c:v>303.05</c:v>
                </c:pt>
                <c:pt idx="12">
                  <c:v>308.32</c:v>
                </c:pt>
                <c:pt idx="13">
                  <c:v>309.26</c:v>
                </c:pt>
                <c:pt idx="14">
                  <c:v>308.36</c:v>
                </c:pt>
                <c:pt idx="15">
                  <c:v>315.48</c:v>
                </c:pt>
                <c:pt idx="16">
                  <c:v>320.39</c:v>
                </c:pt>
                <c:pt idx="17">
                  <c:v>323.72000000000003</c:v>
                </c:pt>
                <c:pt idx="18">
                  <c:v>317.11</c:v>
                </c:pt>
                <c:pt idx="19">
                  <c:v>323.06</c:v>
                </c:pt>
                <c:pt idx="20">
                  <c:v>321.77999999999997</c:v>
                </c:pt>
                <c:pt idx="21">
                  <c:v>330.35</c:v>
                </c:pt>
                <c:pt idx="22">
                  <c:v>327.14</c:v>
                </c:pt>
                <c:pt idx="23">
                  <c:v>322.83</c:v>
                </c:pt>
                <c:pt idx="24">
                  <c:v>319.55</c:v>
                </c:pt>
                <c:pt idx="25">
                  <c:v>319.47000000000003</c:v>
                </c:pt>
                <c:pt idx="26">
                  <c:v>329.9</c:v>
                </c:pt>
                <c:pt idx="27">
                  <c:v>331.73</c:v>
                </c:pt>
                <c:pt idx="28">
                  <c:v>328.38</c:v>
                </c:pt>
                <c:pt idx="29">
                  <c:v>328.1</c:v>
                </c:pt>
                <c:pt idx="30">
                  <c:v>336.77</c:v>
                </c:pt>
                <c:pt idx="31">
                  <c:v>333.4</c:v>
                </c:pt>
                <c:pt idx="32">
                  <c:v>335.69</c:v>
                </c:pt>
                <c:pt idx="33">
                  <c:v>334.69</c:v>
                </c:pt>
                <c:pt idx="34">
                  <c:v>331.6</c:v>
                </c:pt>
                <c:pt idx="35">
                  <c:v>332.39</c:v>
                </c:pt>
                <c:pt idx="36">
                  <c:v>339.02</c:v>
                </c:pt>
                <c:pt idx="37">
                  <c:v>335.24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43-7B4D-AA59-FE9D6ECB1682}"/>
            </c:ext>
          </c:extLst>
        </c:ser>
        <c:ser>
          <c:idx val="1"/>
          <c:order val="1"/>
          <c:tx>
            <c:v>Predicted CP</c:v>
          </c:tx>
          <c:spPr>
            <a:ln w="38100">
              <a:noFill/>
            </a:ln>
          </c:spPr>
          <c:xVal>
            <c:numRef>
              <c:f>ZBRA!$C$2:$C$39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ZBRA!$B$68:$B$105</c:f>
              <c:numCache>
                <c:formatCode>General</c:formatCode>
                <c:ptCount val="38"/>
                <c:pt idx="0">
                  <c:v>289.76497975708503</c:v>
                </c:pt>
                <c:pt idx="1">
                  <c:v>291.16809607178033</c:v>
                </c:pt>
                <c:pt idx="2">
                  <c:v>292.57121238647557</c:v>
                </c:pt>
                <c:pt idx="3">
                  <c:v>293.97432870117086</c:v>
                </c:pt>
                <c:pt idx="4">
                  <c:v>295.3774450158661</c:v>
                </c:pt>
                <c:pt idx="5">
                  <c:v>296.78056133056134</c:v>
                </c:pt>
                <c:pt idx="6">
                  <c:v>298.18367764525664</c:v>
                </c:pt>
                <c:pt idx="7">
                  <c:v>299.58679395995188</c:v>
                </c:pt>
                <c:pt idx="8">
                  <c:v>300.98991027464717</c:v>
                </c:pt>
                <c:pt idx="9">
                  <c:v>302.39302658934241</c:v>
                </c:pt>
                <c:pt idx="10">
                  <c:v>303.79614290403765</c:v>
                </c:pt>
                <c:pt idx="11">
                  <c:v>305.19925921873295</c:v>
                </c:pt>
                <c:pt idx="12">
                  <c:v>306.60237553342819</c:v>
                </c:pt>
                <c:pt idx="13">
                  <c:v>308.00549184812348</c:v>
                </c:pt>
                <c:pt idx="14">
                  <c:v>309.40860816281872</c:v>
                </c:pt>
                <c:pt idx="15">
                  <c:v>310.81172447751396</c:v>
                </c:pt>
                <c:pt idx="16">
                  <c:v>312.21484079220926</c:v>
                </c:pt>
                <c:pt idx="17">
                  <c:v>313.6179571069045</c:v>
                </c:pt>
                <c:pt idx="18">
                  <c:v>315.02107342159979</c:v>
                </c:pt>
                <c:pt idx="19">
                  <c:v>316.42418973629503</c:v>
                </c:pt>
                <c:pt idx="20">
                  <c:v>317.82730605099027</c:v>
                </c:pt>
                <c:pt idx="21">
                  <c:v>319.23042236568557</c:v>
                </c:pt>
                <c:pt idx="22">
                  <c:v>320.63353868038081</c:v>
                </c:pt>
                <c:pt idx="23">
                  <c:v>322.03665499507611</c:v>
                </c:pt>
                <c:pt idx="24">
                  <c:v>323.43977130977134</c:v>
                </c:pt>
                <c:pt idx="25">
                  <c:v>324.84288762446658</c:v>
                </c:pt>
                <c:pt idx="26">
                  <c:v>326.24600393916188</c:v>
                </c:pt>
                <c:pt idx="27">
                  <c:v>327.64912025385712</c:v>
                </c:pt>
                <c:pt idx="28">
                  <c:v>329.05223656855242</c:v>
                </c:pt>
                <c:pt idx="29">
                  <c:v>330.45535288324766</c:v>
                </c:pt>
                <c:pt idx="30">
                  <c:v>331.8584691979429</c:v>
                </c:pt>
                <c:pt idx="31">
                  <c:v>333.26158551263819</c:v>
                </c:pt>
                <c:pt idx="32">
                  <c:v>334.66470182733343</c:v>
                </c:pt>
                <c:pt idx="33">
                  <c:v>336.06781814202873</c:v>
                </c:pt>
                <c:pt idx="34">
                  <c:v>337.47093445672397</c:v>
                </c:pt>
                <c:pt idx="35">
                  <c:v>338.87405077141921</c:v>
                </c:pt>
                <c:pt idx="36">
                  <c:v>340.2771670861145</c:v>
                </c:pt>
                <c:pt idx="37">
                  <c:v>341.68028340080974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43-7B4D-AA59-FE9D6ECB1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4711600"/>
        <c:axId val="1912671264"/>
      </c:scatterChart>
      <c:valAx>
        <c:axId val="189471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2671264"/>
        <c:crosses val="autoZero"/>
        <c:crossBetween val="midCat"/>
      </c:valAx>
      <c:valAx>
        <c:axId val="19126712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4711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ZION!$C$2:$C$39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ZION!$C$68:$C$105</c:f>
              <c:numCache>
                <c:formatCode>General</c:formatCode>
                <c:ptCount val="38"/>
                <c:pt idx="0">
                  <c:v>0.52890688259110163</c:v>
                </c:pt>
                <c:pt idx="1">
                  <c:v>0.80041689462742482</c:v>
                </c:pt>
                <c:pt idx="2">
                  <c:v>-0.31807309333624545</c:v>
                </c:pt>
                <c:pt idx="3">
                  <c:v>-0.73656308129991288</c:v>
                </c:pt>
                <c:pt idx="4">
                  <c:v>-2.2550530692635888</c:v>
                </c:pt>
                <c:pt idx="5">
                  <c:v>-2.0635430572272568</c:v>
                </c:pt>
                <c:pt idx="6">
                  <c:v>-2.8620330451909268</c:v>
                </c:pt>
                <c:pt idx="7">
                  <c:v>-2.0405230331546065</c:v>
                </c:pt>
                <c:pt idx="8">
                  <c:v>-2.0190130211182762</c:v>
                </c:pt>
                <c:pt idx="9">
                  <c:v>-1.3575030090819524</c:v>
                </c:pt>
                <c:pt idx="10">
                  <c:v>-0.96599299704561759</c:v>
                </c:pt>
                <c:pt idx="11">
                  <c:v>-1.1544829850092881</c:v>
                </c:pt>
                <c:pt idx="12">
                  <c:v>-0.11297297297296893</c:v>
                </c:pt>
                <c:pt idx="13">
                  <c:v>-0.27146296093663835</c:v>
                </c:pt>
                <c:pt idx="14">
                  <c:v>-2.9952948900309195E-2</c:v>
                </c:pt>
                <c:pt idx="15">
                  <c:v>1.5515570631360163</c:v>
                </c:pt>
                <c:pt idx="16">
                  <c:v>2.3430670751723497</c:v>
                </c:pt>
                <c:pt idx="17">
                  <c:v>2.8445770872086769</c:v>
                </c:pt>
                <c:pt idx="18">
                  <c:v>2.2760870992449966</c:v>
                </c:pt>
                <c:pt idx="19">
                  <c:v>2.4375971112813275</c:v>
                </c:pt>
                <c:pt idx="20">
                  <c:v>2.3091071233176521</c:v>
                </c:pt>
                <c:pt idx="21">
                  <c:v>2.730617135353981</c:v>
                </c:pt>
                <c:pt idx="22">
                  <c:v>2.402127147390317</c:v>
                </c:pt>
                <c:pt idx="23">
                  <c:v>2.8936371594266461</c:v>
                </c:pt>
                <c:pt idx="24">
                  <c:v>0.28514717146296675</c:v>
                </c:pt>
                <c:pt idx="25">
                  <c:v>0.61665718349929932</c:v>
                </c:pt>
                <c:pt idx="26">
                  <c:v>1.6981671955356177</c:v>
                </c:pt>
                <c:pt idx="27">
                  <c:v>1.8596772075719485</c:v>
                </c:pt>
                <c:pt idx="28">
                  <c:v>1.4211872196082851</c:v>
                </c:pt>
                <c:pt idx="29">
                  <c:v>1.4526972316446063</c:v>
                </c:pt>
                <c:pt idx="30">
                  <c:v>0.91420724368093431</c:v>
                </c:pt>
                <c:pt idx="31">
                  <c:v>-0.67428274428273482</c:v>
                </c:pt>
                <c:pt idx="32">
                  <c:v>-0.70277273224640879</c:v>
                </c:pt>
                <c:pt idx="33">
                  <c:v>-0.95126272021008162</c:v>
                </c:pt>
                <c:pt idx="34">
                  <c:v>-1.7697527081737476</c:v>
                </c:pt>
                <c:pt idx="35">
                  <c:v>-2.5582426961374267</c:v>
                </c:pt>
                <c:pt idx="36">
                  <c:v>-3.3767326841010998</c:v>
                </c:pt>
                <c:pt idx="37">
                  <c:v>-5.1452226720647758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E2-F94A-82B1-C0C8B6255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773919"/>
        <c:axId val="1098209263"/>
      </c:scatterChart>
      <c:valAx>
        <c:axId val="1102773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8209263"/>
        <c:crosses val="autoZero"/>
        <c:crossBetween val="midCat"/>
      </c:valAx>
      <c:valAx>
        <c:axId val="10982092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277391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</c:v>
          </c:tx>
          <c:spPr>
            <a:ln w="38100">
              <a:noFill/>
            </a:ln>
          </c:spPr>
          <c:xVal>
            <c:numRef>
              <c:f>ZION!$C$2:$C$39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ZION!$D$2:$D$39</c:f>
              <c:numCache>
                <c:formatCode>General</c:formatCode>
                <c:ptCount val="38"/>
                <c:pt idx="0">
                  <c:v>49.3</c:v>
                </c:pt>
                <c:pt idx="1">
                  <c:v>49.8</c:v>
                </c:pt>
                <c:pt idx="2">
                  <c:v>48.91</c:v>
                </c:pt>
                <c:pt idx="3">
                  <c:v>48.72</c:v>
                </c:pt>
                <c:pt idx="4">
                  <c:v>47.43</c:v>
                </c:pt>
                <c:pt idx="5">
                  <c:v>47.85</c:v>
                </c:pt>
                <c:pt idx="6">
                  <c:v>47.28</c:v>
                </c:pt>
                <c:pt idx="7">
                  <c:v>48.33</c:v>
                </c:pt>
                <c:pt idx="8">
                  <c:v>48.58</c:v>
                </c:pt>
                <c:pt idx="9">
                  <c:v>49.47</c:v>
                </c:pt>
                <c:pt idx="10">
                  <c:v>50.09</c:v>
                </c:pt>
                <c:pt idx="11">
                  <c:v>50.13</c:v>
                </c:pt>
                <c:pt idx="12">
                  <c:v>51.4</c:v>
                </c:pt>
                <c:pt idx="13">
                  <c:v>51.47</c:v>
                </c:pt>
                <c:pt idx="14">
                  <c:v>51.94</c:v>
                </c:pt>
                <c:pt idx="15">
                  <c:v>53.75</c:v>
                </c:pt>
                <c:pt idx="16">
                  <c:v>54.77</c:v>
                </c:pt>
                <c:pt idx="17">
                  <c:v>55.5</c:v>
                </c:pt>
                <c:pt idx="18">
                  <c:v>55.16</c:v>
                </c:pt>
                <c:pt idx="19">
                  <c:v>55.55</c:v>
                </c:pt>
                <c:pt idx="20">
                  <c:v>55.65</c:v>
                </c:pt>
                <c:pt idx="21">
                  <c:v>56.3</c:v>
                </c:pt>
                <c:pt idx="22">
                  <c:v>56.2</c:v>
                </c:pt>
                <c:pt idx="23">
                  <c:v>56.92</c:v>
                </c:pt>
                <c:pt idx="24">
                  <c:v>54.54</c:v>
                </c:pt>
                <c:pt idx="25">
                  <c:v>55.1</c:v>
                </c:pt>
                <c:pt idx="26">
                  <c:v>56.41</c:v>
                </c:pt>
                <c:pt idx="27">
                  <c:v>56.8</c:v>
                </c:pt>
                <c:pt idx="28">
                  <c:v>56.59</c:v>
                </c:pt>
                <c:pt idx="29">
                  <c:v>56.85</c:v>
                </c:pt>
                <c:pt idx="30">
                  <c:v>56.54</c:v>
                </c:pt>
                <c:pt idx="31">
                  <c:v>55.18</c:v>
                </c:pt>
                <c:pt idx="32">
                  <c:v>55.38</c:v>
                </c:pt>
                <c:pt idx="33">
                  <c:v>55.36</c:v>
                </c:pt>
                <c:pt idx="34">
                  <c:v>54.77</c:v>
                </c:pt>
                <c:pt idx="35">
                  <c:v>54.21</c:v>
                </c:pt>
                <c:pt idx="36">
                  <c:v>53.62</c:v>
                </c:pt>
                <c:pt idx="37">
                  <c:v>52.08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48-6D44-8E11-7F343073D529}"/>
            </c:ext>
          </c:extLst>
        </c:ser>
        <c:ser>
          <c:idx val="1"/>
          <c:order val="1"/>
          <c:tx>
            <c:v>Predicted CP</c:v>
          </c:tx>
          <c:spPr>
            <a:ln w="38100">
              <a:noFill/>
            </a:ln>
          </c:spPr>
          <c:xVal>
            <c:numRef>
              <c:f>ZION!$C$2:$C$39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ZION!$B$68:$B$105</c:f>
              <c:numCache>
                <c:formatCode>General</c:formatCode>
                <c:ptCount val="38"/>
                <c:pt idx="0">
                  <c:v>48.771093117408896</c:v>
                </c:pt>
                <c:pt idx="1">
                  <c:v>48.999583105372572</c:v>
                </c:pt>
                <c:pt idx="2">
                  <c:v>49.228073093336242</c:v>
                </c:pt>
                <c:pt idx="3">
                  <c:v>49.456563081299912</c:v>
                </c:pt>
                <c:pt idx="4">
                  <c:v>49.685053069263589</c:v>
                </c:pt>
                <c:pt idx="5">
                  <c:v>49.913543057227258</c:v>
                </c:pt>
                <c:pt idx="6">
                  <c:v>50.142033045190928</c:v>
                </c:pt>
                <c:pt idx="7">
                  <c:v>50.370523033154605</c:v>
                </c:pt>
                <c:pt idx="8">
                  <c:v>50.599013021118274</c:v>
                </c:pt>
                <c:pt idx="9">
                  <c:v>50.827503009081951</c:v>
                </c:pt>
                <c:pt idx="10">
                  <c:v>51.055992997045621</c:v>
                </c:pt>
                <c:pt idx="11">
                  <c:v>51.284482985009291</c:v>
                </c:pt>
                <c:pt idx="12">
                  <c:v>51.512972972972968</c:v>
                </c:pt>
                <c:pt idx="13">
                  <c:v>51.741462960936637</c:v>
                </c:pt>
                <c:pt idx="14">
                  <c:v>51.969952948900307</c:v>
                </c:pt>
                <c:pt idx="15">
                  <c:v>52.198442936863984</c:v>
                </c:pt>
                <c:pt idx="16">
                  <c:v>52.426932924827653</c:v>
                </c:pt>
                <c:pt idx="17">
                  <c:v>52.655422912791323</c:v>
                </c:pt>
                <c:pt idx="18">
                  <c:v>52.883912900755</c:v>
                </c:pt>
                <c:pt idx="19">
                  <c:v>53.11240288871867</c:v>
                </c:pt>
                <c:pt idx="20">
                  <c:v>53.340892876682346</c:v>
                </c:pt>
                <c:pt idx="21">
                  <c:v>53.569382864646016</c:v>
                </c:pt>
                <c:pt idx="22">
                  <c:v>53.797872852609686</c:v>
                </c:pt>
                <c:pt idx="23">
                  <c:v>54.026362840573356</c:v>
                </c:pt>
                <c:pt idx="24">
                  <c:v>54.254852828537032</c:v>
                </c:pt>
                <c:pt idx="25">
                  <c:v>54.483342816500702</c:v>
                </c:pt>
                <c:pt idx="26">
                  <c:v>54.711832804464379</c:v>
                </c:pt>
                <c:pt idx="27">
                  <c:v>54.940322792428049</c:v>
                </c:pt>
                <c:pt idx="28">
                  <c:v>55.168812780391718</c:v>
                </c:pt>
                <c:pt idx="29">
                  <c:v>55.397302768355395</c:v>
                </c:pt>
                <c:pt idx="30">
                  <c:v>55.625792756319065</c:v>
                </c:pt>
                <c:pt idx="31">
                  <c:v>55.854282744282735</c:v>
                </c:pt>
                <c:pt idx="32">
                  <c:v>56.082772732246411</c:v>
                </c:pt>
                <c:pt idx="33">
                  <c:v>56.311262720210081</c:v>
                </c:pt>
                <c:pt idx="34">
                  <c:v>56.539752708173751</c:v>
                </c:pt>
                <c:pt idx="35">
                  <c:v>56.768242696137428</c:v>
                </c:pt>
                <c:pt idx="36">
                  <c:v>56.996732684101097</c:v>
                </c:pt>
                <c:pt idx="37">
                  <c:v>57.225222672064774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48-6D44-8E11-7F343073D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386399"/>
        <c:axId val="1233388111"/>
      </c:scatterChart>
      <c:valAx>
        <c:axId val="1233386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3388111"/>
        <c:crosses val="autoZero"/>
        <c:crossBetween val="midCat"/>
      </c:valAx>
      <c:valAx>
        <c:axId val="1233388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33863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ZION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ZION!$D$1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ZION!$C$2:$C$39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ZION!$D$2:$D$39</c:f>
              <c:numCache>
                <c:formatCode>General</c:formatCode>
                <c:ptCount val="38"/>
                <c:pt idx="0">
                  <c:v>49.3</c:v>
                </c:pt>
                <c:pt idx="1">
                  <c:v>49.8</c:v>
                </c:pt>
                <c:pt idx="2">
                  <c:v>48.91</c:v>
                </c:pt>
                <c:pt idx="3">
                  <c:v>48.72</c:v>
                </c:pt>
                <c:pt idx="4">
                  <c:v>47.43</c:v>
                </c:pt>
                <c:pt idx="5">
                  <c:v>47.85</c:v>
                </c:pt>
                <c:pt idx="6">
                  <c:v>47.28</c:v>
                </c:pt>
                <c:pt idx="7">
                  <c:v>48.33</c:v>
                </c:pt>
                <c:pt idx="8">
                  <c:v>48.58</c:v>
                </c:pt>
                <c:pt idx="9">
                  <c:v>49.47</c:v>
                </c:pt>
                <c:pt idx="10">
                  <c:v>50.09</c:v>
                </c:pt>
                <c:pt idx="11">
                  <c:v>50.13</c:v>
                </c:pt>
                <c:pt idx="12">
                  <c:v>51.4</c:v>
                </c:pt>
                <c:pt idx="13">
                  <c:v>51.47</c:v>
                </c:pt>
                <c:pt idx="14">
                  <c:v>51.94</c:v>
                </c:pt>
                <c:pt idx="15">
                  <c:v>53.75</c:v>
                </c:pt>
                <c:pt idx="16">
                  <c:v>54.77</c:v>
                </c:pt>
                <c:pt idx="17">
                  <c:v>55.5</c:v>
                </c:pt>
                <c:pt idx="18">
                  <c:v>55.16</c:v>
                </c:pt>
                <c:pt idx="19">
                  <c:v>55.55</c:v>
                </c:pt>
                <c:pt idx="20">
                  <c:v>55.65</c:v>
                </c:pt>
                <c:pt idx="21">
                  <c:v>56.3</c:v>
                </c:pt>
                <c:pt idx="22">
                  <c:v>56.2</c:v>
                </c:pt>
                <c:pt idx="23">
                  <c:v>56.92</c:v>
                </c:pt>
                <c:pt idx="24">
                  <c:v>54.54</c:v>
                </c:pt>
                <c:pt idx="25">
                  <c:v>55.1</c:v>
                </c:pt>
                <c:pt idx="26">
                  <c:v>56.41</c:v>
                </c:pt>
                <c:pt idx="27">
                  <c:v>56.8</c:v>
                </c:pt>
                <c:pt idx="28">
                  <c:v>56.59</c:v>
                </c:pt>
                <c:pt idx="29">
                  <c:v>56.85</c:v>
                </c:pt>
                <c:pt idx="30">
                  <c:v>56.54</c:v>
                </c:pt>
                <c:pt idx="31">
                  <c:v>55.18</c:v>
                </c:pt>
                <c:pt idx="32">
                  <c:v>55.38</c:v>
                </c:pt>
                <c:pt idx="33">
                  <c:v>55.36</c:v>
                </c:pt>
                <c:pt idx="34">
                  <c:v>54.77</c:v>
                </c:pt>
                <c:pt idx="35">
                  <c:v>54.21</c:v>
                </c:pt>
                <c:pt idx="36">
                  <c:v>53.62</c:v>
                </c:pt>
                <c:pt idx="37">
                  <c:v>52.08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28-1F40-9A82-C444F4F8ADDE}"/>
            </c:ext>
          </c:extLst>
        </c:ser>
        <c:ser>
          <c:idx val="1"/>
          <c:order val="1"/>
          <c:tx>
            <c:strRef>
              <c:f>ZION!$E$1</c:f>
              <c:strCache>
                <c:ptCount val="1"/>
                <c:pt idx="0">
                  <c:v>SMA5	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ZION!$C$2:$C$39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ZION!$E$2:$E$39</c:f>
              <c:numCache>
                <c:formatCode>General</c:formatCode>
                <c:ptCount val="38"/>
                <c:pt idx="5">
                  <c:v>48.832000000000001</c:v>
                </c:pt>
                <c:pt idx="6">
                  <c:v>48.542000000000002</c:v>
                </c:pt>
                <c:pt idx="7">
                  <c:v>48.037999999999997</c:v>
                </c:pt>
                <c:pt idx="8">
                  <c:v>47.922000000000004</c:v>
                </c:pt>
                <c:pt idx="9">
                  <c:v>47.893999999999991</c:v>
                </c:pt>
                <c:pt idx="10">
                  <c:v>48.301999999999992</c:v>
                </c:pt>
                <c:pt idx="11">
                  <c:v>48.75</c:v>
                </c:pt>
                <c:pt idx="12">
                  <c:v>49.32</c:v>
                </c:pt>
                <c:pt idx="13">
                  <c:v>49.933999999999997</c:v>
                </c:pt>
                <c:pt idx="14">
                  <c:v>50.512</c:v>
                </c:pt>
                <c:pt idx="15">
                  <c:v>51.006</c:v>
                </c:pt>
                <c:pt idx="16">
                  <c:v>51.738</c:v>
                </c:pt>
                <c:pt idx="17">
                  <c:v>52.665999999999997</c:v>
                </c:pt>
                <c:pt idx="18">
                  <c:v>53.486000000000004</c:v>
                </c:pt>
                <c:pt idx="19">
                  <c:v>54.224000000000004</c:v>
                </c:pt>
                <c:pt idx="20">
                  <c:v>54.946000000000005</c:v>
                </c:pt>
                <c:pt idx="21">
                  <c:v>55.326000000000001</c:v>
                </c:pt>
                <c:pt idx="22">
                  <c:v>55.631999999999991</c:v>
                </c:pt>
                <c:pt idx="23">
                  <c:v>55.771999999999991</c:v>
                </c:pt>
                <c:pt idx="24">
                  <c:v>56.124000000000002</c:v>
                </c:pt>
                <c:pt idx="25">
                  <c:v>55.922000000000004</c:v>
                </c:pt>
                <c:pt idx="26">
                  <c:v>55.811999999999998</c:v>
                </c:pt>
                <c:pt idx="27">
                  <c:v>55.833999999999989</c:v>
                </c:pt>
                <c:pt idx="28">
                  <c:v>55.953999999999994</c:v>
                </c:pt>
                <c:pt idx="29">
                  <c:v>55.888000000000012</c:v>
                </c:pt>
                <c:pt idx="30">
                  <c:v>56.35</c:v>
                </c:pt>
                <c:pt idx="31">
                  <c:v>56.637999999999998</c:v>
                </c:pt>
                <c:pt idx="32">
                  <c:v>56.391999999999996</c:v>
                </c:pt>
                <c:pt idx="33">
                  <c:v>56.108000000000004</c:v>
                </c:pt>
                <c:pt idx="34">
                  <c:v>55.862000000000002</c:v>
                </c:pt>
                <c:pt idx="35">
                  <c:v>55.445999999999991</c:v>
                </c:pt>
                <c:pt idx="36">
                  <c:v>54.980000000000004</c:v>
                </c:pt>
                <c:pt idx="37">
                  <c:v>54.668000000000006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28-1F40-9A82-C444F4F8A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084096"/>
        <c:axId val="1177419520"/>
      </c:scatterChart>
      <c:valAx>
        <c:axId val="1177084096"/>
        <c:scaling>
          <c:orientation val="minMax"/>
          <c:max val="3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TD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419520"/>
        <c:crosses val="autoZero"/>
        <c:crossBetween val="midCat"/>
      </c:valAx>
      <c:valAx>
        <c:axId val="1177419520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$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084096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HIVE!$C$2:$C$39</c:f>
              <c:numCache>
                <c:formatCode>#,##0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HIVE!$C$68:$C$105</c:f>
              <c:numCache>
                <c:formatCode>General</c:formatCode>
                <c:ptCount val="38"/>
                <c:pt idx="0">
                  <c:v>0.17340080971659888</c:v>
                </c:pt>
                <c:pt idx="1">
                  <c:v>0.16993106466790664</c:v>
                </c:pt>
                <c:pt idx="2">
                  <c:v>0.13646131961921437</c:v>
                </c:pt>
                <c:pt idx="3">
                  <c:v>7.2991574570521855E-2</c:v>
                </c:pt>
                <c:pt idx="4">
                  <c:v>-4.7817047817066971E-4</c:v>
                </c:pt>
                <c:pt idx="5">
                  <c:v>-3.9479155268629107E-3</c:v>
                </c:pt>
                <c:pt idx="6">
                  <c:v>-0.15741766057555528</c:v>
                </c:pt>
                <c:pt idx="7">
                  <c:v>-0.17088740562424776</c:v>
                </c:pt>
                <c:pt idx="8">
                  <c:v>-0.24435715067294028</c:v>
                </c:pt>
                <c:pt idx="9">
                  <c:v>-0.28782689572163278</c:v>
                </c:pt>
                <c:pt idx="10">
                  <c:v>-0.12129664077032487</c:v>
                </c:pt>
                <c:pt idx="11">
                  <c:v>-0.2047663858190174</c:v>
                </c:pt>
                <c:pt idx="12">
                  <c:v>-0.20823613086770987</c:v>
                </c:pt>
                <c:pt idx="13">
                  <c:v>-0.21170587591640211</c:v>
                </c:pt>
                <c:pt idx="14">
                  <c:v>-0.2251756209650948</c:v>
                </c:pt>
                <c:pt idx="15">
                  <c:v>3.1354633986212743E-2</c:v>
                </c:pt>
                <c:pt idx="16">
                  <c:v>0.19788488893752065</c:v>
                </c:pt>
                <c:pt idx="17">
                  <c:v>0.24441514388882801</c:v>
                </c:pt>
                <c:pt idx="18">
                  <c:v>0.19094539884013573</c:v>
                </c:pt>
                <c:pt idx="19">
                  <c:v>0.12747565379144321</c:v>
                </c:pt>
                <c:pt idx="20">
                  <c:v>0.10400590874275073</c:v>
                </c:pt>
                <c:pt idx="21">
                  <c:v>0.20053616369405836</c:v>
                </c:pt>
                <c:pt idx="22">
                  <c:v>0.16706641864536564</c:v>
                </c:pt>
                <c:pt idx="23">
                  <c:v>0.15359667359667339</c:v>
                </c:pt>
                <c:pt idx="24">
                  <c:v>1.2692854798146413E-4</c:v>
                </c:pt>
                <c:pt idx="25">
                  <c:v>2.6657183499288806E-2</c:v>
                </c:pt>
                <c:pt idx="26">
                  <c:v>3.3187438450596574E-2</c:v>
                </c:pt>
                <c:pt idx="27">
                  <c:v>2.9717693401904111E-2</c:v>
                </c:pt>
                <c:pt idx="28">
                  <c:v>5.6247948353211452E-2</c:v>
                </c:pt>
                <c:pt idx="29">
                  <c:v>0.27277820330451918</c:v>
                </c:pt>
                <c:pt idx="30">
                  <c:v>0.1593084582558264</c:v>
                </c:pt>
                <c:pt idx="31">
                  <c:v>9.583871320713433E-2</c:v>
                </c:pt>
                <c:pt idx="32">
                  <c:v>2.3689681584420086E-3</c:v>
                </c:pt>
                <c:pt idx="33">
                  <c:v>-6.1100776890250508E-2</c:v>
                </c:pt>
                <c:pt idx="34">
                  <c:v>-0.14457052193894304</c:v>
                </c:pt>
                <c:pt idx="35">
                  <c:v>-0.1180402669876357</c:v>
                </c:pt>
                <c:pt idx="36">
                  <c:v>-0.18151001203632777</c:v>
                </c:pt>
                <c:pt idx="37">
                  <c:v>-0.30497975708502034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73-1C40-9E1C-BC1D05DF7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896655"/>
        <c:axId val="751182287"/>
      </c:scatterChart>
      <c:valAx>
        <c:axId val="1097896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751182287"/>
        <c:crosses val="autoZero"/>
        <c:crossBetween val="midCat"/>
      </c:valAx>
      <c:valAx>
        <c:axId val="7511822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978966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</c:v>
          </c:tx>
          <c:spPr>
            <a:ln w="38100">
              <a:noFill/>
            </a:ln>
          </c:spPr>
          <c:xVal>
            <c:numRef>
              <c:f>HIVE!$C$2:$C$39</c:f>
              <c:numCache>
                <c:formatCode>#,##0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HIVE!$D$2:$D$39</c:f>
              <c:numCache>
                <c:formatCode>General</c:formatCode>
                <c:ptCount val="38"/>
                <c:pt idx="0">
                  <c:v>2.0099999999999998</c:v>
                </c:pt>
                <c:pt idx="1">
                  <c:v>2.02</c:v>
                </c:pt>
                <c:pt idx="2">
                  <c:v>2</c:v>
                </c:pt>
                <c:pt idx="3">
                  <c:v>1.95</c:v>
                </c:pt>
                <c:pt idx="4">
                  <c:v>1.89</c:v>
                </c:pt>
                <c:pt idx="5">
                  <c:v>1.9</c:v>
                </c:pt>
                <c:pt idx="6">
                  <c:v>1.76</c:v>
                </c:pt>
                <c:pt idx="7">
                  <c:v>1.76</c:v>
                </c:pt>
                <c:pt idx="8">
                  <c:v>1.7</c:v>
                </c:pt>
                <c:pt idx="9">
                  <c:v>1.67</c:v>
                </c:pt>
                <c:pt idx="10">
                  <c:v>1.85</c:v>
                </c:pt>
                <c:pt idx="11">
                  <c:v>1.78</c:v>
                </c:pt>
                <c:pt idx="12">
                  <c:v>1.79</c:v>
                </c:pt>
                <c:pt idx="13">
                  <c:v>1.8</c:v>
                </c:pt>
                <c:pt idx="14">
                  <c:v>1.8</c:v>
                </c:pt>
                <c:pt idx="15">
                  <c:v>2.0699999999999998</c:v>
                </c:pt>
                <c:pt idx="16">
                  <c:v>2.25</c:v>
                </c:pt>
                <c:pt idx="17">
                  <c:v>2.31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2.21</c:v>
                </c:pt>
                <c:pt idx="21">
                  <c:v>2.3199999999999998</c:v>
                </c:pt>
                <c:pt idx="22">
                  <c:v>2.2999999999999998</c:v>
                </c:pt>
                <c:pt idx="23">
                  <c:v>2.2999999999999998</c:v>
                </c:pt>
                <c:pt idx="24">
                  <c:v>2.16</c:v>
                </c:pt>
                <c:pt idx="25">
                  <c:v>2.2000000000000002</c:v>
                </c:pt>
                <c:pt idx="26">
                  <c:v>2.2200000000000002</c:v>
                </c:pt>
                <c:pt idx="27">
                  <c:v>2.23</c:v>
                </c:pt>
                <c:pt idx="28">
                  <c:v>2.27</c:v>
                </c:pt>
                <c:pt idx="29">
                  <c:v>2.5</c:v>
                </c:pt>
                <c:pt idx="30">
                  <c:v>2.4</c:v>
                </c:pt>
                <c:pt idx="31">
                  <c:v>2.35</c:v>
                </c:pt>
                <c:pt idx="32">
                  <c:v>2.27</c:v>
                </c:pt>
                <c:pt idx="33">
                  <c:v>2.2200000000000002</c:v>
                </c:pt>
                <c:pt idx="34">
                  <c:v>2.15</c:v>
                </c:pt>
                <c:pt idx="35">
                  <c:v>2.19</c:v>
                </c:pt>
                <c:pt idx="36">
                  <c:v>2.14</c:v>
                </c:pt>
                <c:pt idx="37">
                  <c:v>2.0299999999999998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F2-A045-BF7C-056B5DF74504}"/>
            </c:ext>
          </c:extLst>
        </c:ser>
        <c:ser>
          <c:idx val="1"/>
          <c:order val="1"/>
          <c:tx>
            <c:v>Predicted CP</c:v>
          </c:tx>
          <c:spPr>
            <a:ln w="38100">
              <a:noFill/>
            </a:ln>
          </c:spPr>
          <c:xVal>
            <c:numRef>
              <c:f>HIVE!$C$2:$C$39</c:f>
              <c:numCache>
                <c:formatCode>#,##0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HIVE!$B$68:$B$105</c:f>
              <c:numCache>
                <c:formatCode>General</c:formatCode>
                <c:ptCount val="38"/>
                <c:pt idx="0">
                  <c:v>1.8365991902834009</c:v>
                </c:pt>
                <c:pt idx="1">
                  <c:v>1.8500689353320934</c:v>
                </c:pt>
                <c:pt idx="2">
                  <c:v>1.8635386803807856</c:v>
                </c:pt>
                <c:pt idx="3">
                  <c:v>1.8770084254294781</c:v>
                </c:pt>
                <c:pt idx="4">
                  <c:v>1.8904781704781706</c:v>
                </c:pt>
                <c:pt idx="5">
                  <c:v>1.9039479155268628</c:v>
                </c:pt>
                <c:pt idx="6">
                  <c:v>1.9174176605755553</c:v>
                </c:pt>
                <c:pt idx="7">
                  <c:v>1.9308874056242478</c:v>
                </c:pt>
                <c:pt idx="8">
                  <c:v>1.9443571506729402</c:v>
                </c:pt>
                <c:pt idx="9">
                  <c:v>1.9578268957216327</c:v>
                </c:pt>
                <c:pt idx="10">
                  <c:v>1.971296640770325</c:v>
                </c:pt>
                <c:pt idx="11">
                  <c:v>1.9847663858190174</c:v>
                </c:pt>
                <c:pt idx="12">
                  <c:v>1.9982361308677099</c:v>
                </c:pt>
                <c:pt idx="13">
                  <c:v>2.0117058759164022</c:v>
                </c:pt>
                <c:pt idx="14">
                  <c:v>2.0251756209650948</c:v>
                </c:pt>
                <c:pt idx="15">
                  <c:v>2.0386453660137871</c:v>
                </c:pt>
                <c:pt idx="16">
                  <c:v>2.0521151110624793</c:v>
                </c:pt>
                <c:pt idx="17">
                  <c:v>2.065584856111172</c:v>
                </c:pt>
                <c:pt idx="18">
                  <c:v>2.0790546011598643</c:v>
                </c:pt>
                <c:pt idx="19">
                  <c:v>2.092524346208557</c:v>
                </c:pt>
                <c:pt idx="20">
                  <c:v>2.1059940912572492</c:v>
                </c:pt>
                <c:pt idx="21">
                  <c:v>2.1194638363059415</c:v>
                </c:pt>
                <c:pt idx="22">
                  <c:v>2.1329335813546342</c:v>
                </c:pt>
                <c:pt idx="23">
                  <c:v>2.1464033264033264</c:v>
                </c:pt>
                <c:pt idx="24">
                  <c:v>2.1598730714520187</c:v>
                </c:pt>
                <c:pt idx="25">
                  <c:v>2.1733428165007114</c:v>
                </c:pt>
                <c:pt idx="26">
                  <c:v>2.1868125615494036</c:v>
                </c:pt>
                <c:pt idx="27">
                  <c:v>2.2002823065980959</c:v>
                </c:pt>
                <c:pt idx="28">
                  <c:v>2.2137520516467886</c:v>
                </c:pt>
                <c:pt idx="29">
                  <c:v>2.2272217966954808</c:v>
                </c:pt>
                <c:pt idx="30">
                  <c:v>2.2406915417441735</c:v>
                </c:pt>
                <c:pt idx="31">
                  <c:v>2.2541612867928658</c:v>
                </c:pt>
                <c:pt idx="32">
                  <c:v>2.267631031841558</c:v>
                </c:pt>
                <c:pt idx="33">
                  <c:v>2.2811007768902507</c:v>
                </c:pt>
                <c:pt idx="34">
                  <c:v>2.294570521938943</c:v>
                </c:pt>
                <c:pt idx="35">
                  <c:v>2.3080402669876356</c:v>
                </c:pt>
                <c:pt idx="36">
                  <c:v>2.3215100120363279</c:v>
                </c:pt>
                <c:pt idx="37">
                  <c:v>2.3349797570850201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F2-A045-BF7C-056B5DF74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335071"/>
        <c:axId val="1126360815"/>
      </c:scatterChart>
      <c:valAx>
        <c:axId val="1126335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crossAx val="1126360815"/>
        <c:crosses val="autoZero"/>
        <c:crossBetween val="midCat"/>
      </c:valAx>
      <c:valAx>
        <c:axId val="1126360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63350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HIVE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HIVE!$D$1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HIVE!$C$2:$C$39</c:f>
              <c:numCache>
                <c:formatCode>#,##0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HIVE!$D$2:$D$39</c:f>
              <c:numCache>
                <c:formatCode>General</c:formatCode>
                <c:ptCount val="38"/>
                <c:pt idx="0">
                  <c:v>2.0099999999999998</c:v>
                </c:pt>
                <c:pt idx="1">
                  <c:v>2.02</c:v>
                </c:pt>
                <c:pt idx="2">
                  <c:v>2</c:v>
                </c:pt>
                <c:pt idx="3">
                  <c:v>1.95</c:v>
                </c:pt>
                <c:pt idx="4">
                  <c:v>1.89</c:v>
                </c:pt>
                <c:pt idx="5">
                  <c:v>1.9</c:v>
                </c:pt>
                <c:pt idx="6">
                  <c:v>1.76</c:v>
                </c:pt>
                <c:pt idx="7">
                  <c:v>1.76</c:v>
                </c:pt>
                <c:pt idx="8">
                  <c:v>1.7</c:v>
                </c:pt>
                <c:pt idx="9">
                  <c:v>1.67</c:v>
                </c:pt>
                <c:pt idx="10">
                  <c:v>1.85</c:v>
                </c:pt>
                <c:pt idx="11">
                  <c:v>1.78</c:v>
                </c:pt>
                <c:pt idx="12">
                  <c:v>1.79</c:v>
                </c:pt>
                <c:pt idx="13">
                  <c:v>1.8</c:v>
                </c:pt>
                <c:pt idx="14">
                  <c:v>1.8</c:v>
                </c:pt>
                <c:pt idx="15">
                  <c:v>2.0699999999999998</c:v>
                </c:pt>
                <c:pt idx="16">
                  <c:v>2.25</c:v>
                </c:pt>
                <c:pt idx="17">
                  <c:v>2.31</c:v>
                </c:pt>
                <c:pt idx="18">
                  <c:v>2.27</c:v>
                </c:pt>
                <c:pt idx="19">
                  <c:v>2.2200000000000002</c:v>
                </c:pt>
                <c:pt idx="20">
                  <c:v>2.21</c:v>
                </c:pt>
                <c:pt idx="21">
                  <c:v>2.3199999999999998</c:v>
                </c:pt>
                <c:pt idx="22">
                  <c:v>2.2999999999999998</c:v>
                </c:pt>
                <c:pt idx="23">
                  <c:v>2.2999999999999998</c:v>
                </c:pt>
                <c:pt idx="24">
                  <c:v>2.16</c:v>
                </c:pt>
                <c:pt idx="25">
                  <c:v>2.2000000000000002</c:v>
                </c:pt>
                <c:pt idx="26">
                  <c:v>2.2200000000000002</c:v>
                </c:pt>
                <c:pt idx="27">
                  <c:v>2.23</c:v>
                </c:pt>
                <c:pt idx="28">
                  <c:v>2.27</c:v>
                </c:pt>
                <c:pt idx="29">
                  <c:v>2.5</c:v>
                </c:pt>
                <c:pt idx="30">
                  <c:v>2.4</c:v>
                </c:pt>
                <c:pt idx="31">
                  <c:v>2.35</c:v>
                </c:pt>
                <c:pt idx="32">
                  <c:v>2.27</c:v>
                </c:pt>
                <c:pt idx="33">
                  <c:v>2.2200000000000002</c:v>
                </c:pt>
                <c:pt idx="34">
                  <c:v>2.15</c:v>
                </c:pt>
                <c:pt idx="35">
                  <c:v>2.19</c:v>
                </c:pt>
                <c:pt idx="36">
                  <c:v>2.14</c:v>
                </c:pt>
                <c:pt idx="37">
                  <c:v>2.0299999999999998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FC-EC4C-A265-3FAAF73F5A49}"/>
            </c:ext>
          </c:extLst>
        </c:ser>
        <c:ser>
          <c:idx val="1"/>
          <c:order val="1"/>
          <c:tx>
            <c:strRef>
              <c:f>HIVE!$E$1</c:f>
              <c:strCache>
                <c:ptCount val="1"/>
                <c:pt idx="0">
                  <c:v>SMA5	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HIVE!$C$2:$C$39</c:f>
              <c:numCache>
                <c:formatCode>#,##0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HIVE!$E$2:$E$39</c:f>
              <c:numCache>
                <c:formatCode>General</c:formatCode>
                <c:ptCount val="38"/>
                <c:pt idx="5">
                  <c:v>1.9739999999999998</c:v>
                </c:pt>
                <c:pt idx="6">
                  <c:v>1.952</c:v>
                </c:pt>
                <c:pt idx="7">
                  <c:v>1.9</c:v>
                </c:pt>
                <c:pt idx="8">
                  <c:v>1.8519999999999999</c:v>
                </c:pt>
                <c:pt idx="9">
                  <c:v>1.802</c:v>
                </c:pt>
                <c:pt idx="10">
                  <c:v>1.7579999999999998</c:v>
                </c:pt>
                <c:pt idx="11">
                  <c:v>1.748</c:v>
                </c:pt>
                <c:pt idx="12">
                  <c:v>1.752</c:v>
                </c:pt>
                <c:pt idx="13">
                  <c:v>1.7580000000000002</c:v>
                </c:pt>
                <c:pt idx="14">
                  <c:v>1.778</c:v>
                </c:pt>
                <c:pt idx="15">
                  <c:v>1.8039999999999998</c:v>
                </c:pt>
                <c:pt idx="16">
                  <c:v>1.8480000000000001</c:v>
                </c:pt>
                <c:pt idx="17">
                  <c:v>1.9419999999999997</c:v>
                </c:pt>
                <c:pt idx="18">
                  <c:v>2.0460000000000003</c:v>
                </c:pt>
                <c:pt idx="19">
                  <c:v>2.1399999999999997</c:v>
                </c:pt>
                <c:pt idx="20">
                  <c:v>2.2240000000000002</c:v>
                </c:pt>
                <c:pt idx="21">
                  <c:v>2.2520000000000002</c:v>
                </c:pt>
                <c:pt idx="22">
                  <c:v>2.2660000000000005</c:v>
                </c:pt>
                <c:pt idx="23">
                  <c:v>2.2640000000000002</c:v>
                </c:pt>
                <c:pt idx="24">
                  <c:v>2.2700000000000005</c:v>
                </c:pt>
                <c:pt idx="25">
                  <c:v>2.258</c:v>
                </c:pt>
                <c:pt idx="26">
                  <c:v>2.2559999999999993</c:v>
                </c:pt>
                <c:pt idx="27">
                  <c:v>2.2360000000000002</c:v>
                </c:pt>
                <c:pt idx="28">
                  <c:v>2.2220000000000004</c:v>
                </c:pt>
                <c:pt idx="29">
                  <c:v>2.2160000000000002</c:v>
                </c:pt>
                <c:pt idx="30">
                  <c:v>2.2839999999999998</c:v>
                </c:pt>
                <c:pt idx="31">
                  <c:v>2.3240000000000003</c:v>
                </c:pt>
                <c:pt idx="32">
                  <c:v>2.35</c:v>
                </c:pt>
                <c:pt idx="33">
                  <c:v>2.3579999999999997</c:v>
                </c:pt>
                <c:pt idx="34">
                  <c:v>2.3479999999999999</c:v>
                </c:pt>
                <c:pt idx="35">
                  <c:v>2.278</c:v>
                </c:pt>
                <c:pt idx="36">
                  <c:v>2.2359999999999998</c:v>
                </c:pt>
                <c:pt idx="37">
                  <c:v>2.194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FC-EC4C-A265-3FAAF73F5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084096"/>
        <c:axId val="1177419520"/>
      </c:scatterChart>
      <c:valAx>
        <c:axId val="1177084096"/>
        <c:scaling>
          <c:orientation val="minMax"/>
          <c:max val="3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TD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419520"/>
        <c:crosses val="autoZero"/>
        <c:crossBetween val="midCat"/>
      </c:valAx>
      <c:valAx>
        <c:axId val="1177419520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$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084096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HUT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HUT!$D$1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HUT!$C$2:$C$39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HUT!$D$2:$D$39</c:f>
              <c:numCache>
                <c:formatCode>General</c:formatCode>
                <c:ptCount val="38"/>
                <c:pt idx="0">
                  <c:v>18.55</c:v>
                </c:pt>
                <c:pt idx="1">
                  <c:v>18.53</c:v>
                </c:pt>
                <c:pt idx="2">
                  <c:v>18.52</c:v>
                </c:pt>
                <c:pt idx="3">
                  <c:v>18.36</c:v>
                </c:pt>
                <c:pt idx="4">
                  <c:v>17.48</c:v>
                </c:pt>
                <c:pt idx="5">
                  <c:v>18.46</c:v>
                </c:pt>
                <c:pt idx="6">
                  <c:v>16.989999999999998</c:v>
                </c:pt>
                <c:pt idx="7">
                  <c:v>17.03</c:v>
                </c:pt>
                <c:pt idx="8">
                  <c:v>16.7</c:v>
                </c:pt>
                <c:pt idx="9">
                  <c:v>15.89</c:v>
                </c:pt>
                <c:pt idx="10">
                  <c:v>17.239999999999998</c:v>
                </c:pt>
                <c:pt idx="11">
                  <c:v>17.45</c:v>
                </c:pt>
                <c:pt idx="12">
                  <c:v>18.68</c:v>
                </c:pt>
                <c:pt idx="13">
                  <c:v>17.66</c:v>
                </c:pt>
                <c:pt idx="14">
                  <c:v>18.600000000000001</c:v>
                </c:pt>
                <c:pt idx="15">
                  <c:v>18.48</c:v>
                </c:pt>
                <c:pt idx="16">
                  <c:v>21.08</c:v>
                </c:pt>
                <c:pt idx="17">
                  <c:v>21.9</c:v>
                </c:pt>
                <c:pt idx="18">
                  <c:v>21.2</c:v>
                </c:pt>
                <c:pt idx="19">
                  <c:v>20.89</c:v>
                </c:pt>
                <c:pt idx="20">
                  <c:v>21.27</c:v>
                </c:pt>
                <c:pt idx="21">
                  <c:v>22.07</c:v>
                </c:pt>
                <c:pt idx="22">
                  <c:v>21.83</c:v>
                </c:pt>
                <c:pt idx="23">
                  <c:v>22.12</c:v>
                </c:pt>
                <c:pt idx="24">
                  <c:v>21.56</c:v>
                </c:pt>
                <c:pt idx="25">
                  <c:v>22.24</c:v>
                </c:pt>
                <c:pt idx="26">
                  <c:v>22.12</c:v>
                </c:pt>
                <c:pt idx="27">
                  <c:v>21.62</c:v>
                </c:pt>
                <c:pt idx="28">
                  <c:v>21.34</c:v>
                </c:pt>
                <c:pt idx="29">
                  <c:v>21.4</c:v>
                </c:pt>
                <c:pt idx="30">
                  <c:v>21.65</c:v>
                </c:pt>
                <c:pt idx="31">
                  <c:v>21.14</c:v>
                </c:pt>
                <c:pt idx="32">
                  <c:v>20.38</c:v>
                </c:pt>
                <c:pt idx="33">
                  <c:v>20.329999999999998</c:v>
                </c:pt>
                <c:pt idx="34">
                  <c:v>19.7</c:v>
                </c:pt>
                <c:pt idx="35">
                  <c:v>19.82</c:v>
                </c:pt>
                <c:pt idx="36">
                  <c:v>21.23</c:v>
                </c:pt>
                <c:pt idx="37">
                  <c:v>19.78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6F-1C4B-8704-FD1211EE06E6}"/>
            </c:ext>
          </c:extLst>
        </c:ser>
        <c:ser>
          <c:idx val="1"/>
          <c:order val="1"/>
          <c:tx>
            <c:strRef>
              <c:f>HUT!$E$1</c:f>
              <c:strCache>
                <c:ptCount val="1"/>
                <c:pt idx="0">
                  <c:v>SMA5	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HUT!$C$2:$C$39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HUT!$E$2:$E$39</c:f>
              <c:numCache>
                <c:formatCode>General</c:formatCode>
                <c:ptCount val="38"/>
                <c:pt idx="5">
                  <c:v>18.288</c:v>
                </c:pt>
                <c:pt idx="6">
                  <c:v>18.27</c:v>
                </c:pt>
                <c:pt idx="7">
                  <c:v>17.961999999999996</c:v>
                </c:pt>
                <c:pt idx="8">
                  <c:v>17.664000000000001</c:v>
                </c:pt>
                <c:pt idx="9">
                  <c:v>17.332000000000001</c:v>
                </c:pt>
                <c:pt idx="10">
                  <c:v>17.014000000000003</c:v>
                </c:pt>
                <c:pt idx="11">
                  <c:v>16.77</c:v>
                </c:pt>
                <c:pt idx="12">
                  <c:v>16.862000000000002</c:v>
                </c:pt>
                <c:pt idx="13">
                  <c:v>17.192</c:v>
                </c:pt>
                <c:pt idx="14">
                  <c:v>17.383999999999997</c:v>
                </c:pt>
                <c:pt idx="15">
                  <c:v>17.925999999999998</c:v>
                </c:pt>
                <c:pt idx="16">
                  <c:v>18.173999999999999</c:v>
                </c:pt>
                <c:pt idx="17">
                  <c:v>18.899999999999999</c:v>
                </c:pt>
                <c:pt idx="18">
                  <c:v>19.544</c:v>
                </c:pt>
                <c:pt idx="19">
                  <c:v>20.252000000000002</c:v>
                </c:pt>
                <c:pt idx="20">
                  <c:v>20.71</c:v>
                </c:pt>
                <c:pt idx="21">
                  <c:v>21.267999999999997</c:v>
                </c:pt>
                <c:pt idx="22">
                  <c:v>21.465999999999998</c:v>
                </c:pt>
                <c:pt idx="23">
                  <c:v>21.452000000000002</c:v>
                </c:pt>
                <c:pt idx="24">
                  <c:v>21.635999999999999</c:v>
                </c:pt>
                <c:pt idx="25">
                  <c:v>21.770000000000003</c:v>
                </c:pt>
                <c:pt idx="26">
                  <c:v>21.963999999999999</c:v>
                </c:pt>
                <c:pt idx="27">
                  <c:v>21.974</c:v>
                </c:pt>
                <c:pt idx="28">
                  <c:v>21.932000000000002</c:v>
                </c:pt>
                <c:pt idx="29">
                  <c:v>21.776000000000003</c:v>
                </c:pt>
                <c:pt idx="30">
                  <c:v>21.744</c:v>
                </c:pt>
                <c:pt idx="31">
                  <c:v>21.625999999999998</c:v>
                </c:pt>
                <c:pt idx="32">
                  <c:v>21.43</c:v>
                </c:pt>
                <c:pt idx="33">
                  <c:v>21.181999999999995</c:v>
                </c:pt>
                <c:pt idx="34">
                  <c:v>20.979999999999997</c:v>
                </c:pt>
                <c:pt idx="35">
                  <c:v>20.64</c:v>
                </c:pt>
                <c:pt idx="36">
                  <c:v>20.274000000000001</c:v>
                </c:pt>
                <c:pt idx="37">
                  <c:v>20.291999999999998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6F-1C4B-8704-FD1211EE0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084096"/>
        <c:axId val="1177419520"/>
      </c:scatterChart>
      <c:valAx>
        <c:axId val="1177084096"/>
        <c:scaling>
          <c:orientation val="minMax"/>
          <c:max val="3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TD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419520"/>
        <c:crosses val="autoZero"/>
        <c:crossBetween val="midCat"/>
      </c:valAx>
      <c:valAx>
        <c:axId val="1177419520"/>
        <c:scaling>
          <c:orientation val="minMax"/>
          <c:max val="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$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084096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HUT!$C$2:$C$39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HUT!$C$68:$C$105</c:f>
              <c:numCache>
                <c:formatCode>General</c:formatCode>
                <c:ptCount val="38"/>
                <c:pt idx="0">
                  <c:v>0.93056680161943461</c:v>
                </c:pt>
                <c:pt idx="1">
                  <c:v>0.79427727322464392</c:v>
                </c:pt>
                <c:pt idx="2">
                  <c:v>0.66798774482985124</c:v>
                </c:pt>
                <c:pt idx="3">
                  <c:v>0.39169821643505998</c:v>
                </c:pt>
                <c:pt idx="4">
                  <c:v>-0.6045913119597337</c:v>
                </c:pt>
                <c:pt idx="5">
                  <c:v>0.25911915964547561</c:v>
                </c:pt>
                <c:pt idx="6">
                  <c:v>-1.3271703687493179</c:v>
                </c:pt>
                <c:pt idx="7">
                  <c:v>-1.4034598971441063</c:v>
                </c:pt>
                <c:pt idx="8">
                  <c:v>-1.8497494255388993</c:v>
                </c:pt>
                <c:pt idx="9">
                  <c:v>-2.7760389539336892</c:v>
                </c:pt>
                <c:pt idx="10">
                  <c:v>-1.5423284823284824</c:v>
                </c:pt>
                <c:pt idx="11">
                  <c:v>-1.4486180107232727</c:v>
                </c:pt>
                <c:pt idx="12">
                  <c:v>-0.33490753911806337</c:v>
                </c:pt>
                <c:pt idx="13">
                  <c:v>-1.4711970675128576</c:v>
                </c:pt>
                <c:pt idx="14">
                  <c:v>-0.64748659590764746</c:v>
                </c:pt>
                <c:pt idx="15">
                  <c:v>-0.88377612430243957</c:v>
                </c:pt>
                <c:pt idx="16">
                  <c:v>1.5999343473027672</c:v>
                </c:pt>
                <c:pt idx="17">
                  <c:v>2.3036448189079763</c:v>
                </c:pt>
                <c:pt idx="18">
                  <c:v>1.4873552905131859</c:v>
                </c:pt>
                <c:pt idx="19">
                  <c:v>1.0610657621183961</c:v>
                </c:pt>
                <c:pt idx="20">
                  <c:v>1.324776233723604</c:v>
                </c:pt>
                <c:pt idx="21">
                  <c:v>2.0084867053288136</c:v>
                </c:pt>
                <c:pt idx="22">
                  <c:v>1.6521971769340205</c:v>
                </c:pt>
                <c:pt idx="23">
                  <c:v>1.825907648539232</c:v>
                </c:pt>
                <c:pt idx="24">
                  <c:v>1.1496181201444351</c:v>
                </c:pt>
                <c:pt idx="25">
                  <c:v>1.7133285917496437</c:v>
                </c:pt>
                <c:pt idx="26">
                  <c:v>1.4770390633548551</c:v>
                </c:pt>
                <c:pt idx="27">
                  <c:v>0.86074953496006401</c:v>
                </c:pt>
                <c:pt idx="28">
                  <c:v>0.46446000656527175</c:v>
                </c:pt>
                <c:pt idx="29">
                  <c:v>0.40817047817047936</c:v>
                </c:pt>
                <c:pt idx="30">
                  <c:v>0.54188094977568824</c:v>
                </c:pt>
                <c:pt idx="31">
                  <c:v>-8.4408578619100894E-2</c:v>
                </c:pt>
                <c:pt idx="32">
                  <c:v>-0.96069810701389358</c:v>
                </c:pt>
                <c:pt idx="33">
                  <c:v>-1.126987635408689</c:v>
                </c:pt>
                <c:pt idx="34">
                  <c:v>-1.8732771638034791</c:v>
                </c:pt>
                <c:pt idx="35">
                  <c:v>-1.8695666921982692</c:v>
                </c:pt>
                <c:pt idx="36">
                  <c:v>-0.57585622059306019</c:v>
                </c:pt>
                <c:pt idx="37">
                  <c:v>-2.1421457489878506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CC-8B42-8E32-259352793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294991"/>
        <c:axId val="747483519"/>
      </c:scatterChart>
      <c:valAx>
        <c:axId val="878294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47483519"/>
        <c:crosses val="autoZero"/>
        <c:crossBetween val="midCat"/>
      </c:valAx>
      <c:valAx>
        <c:axId val="7474835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82949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</c:v>
          </c:tx>
          <c:spPr>
            <a:ln w="38100">
              <a:noFill/>
            </a:ln>
          </c:spPr>
          <c:xVal>
            <c:numRef>
              <c:f>HUT!$C$2:$C$39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HUT!$D$2:$D$39</c:f>
              <c:numCache>
                <c:formatCode>General</c:formatCode>
                <c:ptCount val="38"/>
                <c:pt idx="0">
                  <c:v>18.55</c:v>
                </c:pt>
                <c:pt idx="1">
                  <c:v>18.53</c:v>
                </c:pt>
                <c:pt idx="2">
                  <c:v>18.52</c:v>
                </c:pt>
                <c:pt idx="3">
                  <c:v>18.36</c:v>
                </c:pt>
                <c:pt idx="4">
                  <c:v>17.48</c:v>
                </c:pt>
                <c:pt idx="5">
                  <c:v>18.46</c:v>
                </c:pt>
                <c:pt idx="6">
                  <c:v>16.989999999999998</c:v>
                </c:pt>
                <c:pt idx="7">
                  <c:v>17.03</c:v>
                </c:pt>
                <c:pt idx="8">
                  <c:v>16.7</c:v>
                </c:pt>
                <c:pt idx="9">
                  <c:v>15.89</c:v>
                </c:pt>
                <c:pt idx="10">
                  <c:v>17.239999999999998</c:v>
                </c:pt>
                <c:pt idx="11">
                  <c:v>17.45</c:v>
                </c:pt>
                <c:pt idx="12">
                  <c:v>18.68</c:v>
                </c:pt>
                <c:pt idx="13">
                  <c:v>17.66</c:v>
                </c:pt>
                <c:pt idx="14">
                  <c:v>18.600000000000001</c:v>
                </c:pt>
                <c:pt idx="15">
                  <c:v>18.48</c:v>
                </c:pt>
                <c:pt idx="16">
                  <c:v>21.08</c:v>
                </c:pt>
                <c:pt idx="17">
                  <c:v>21.9</c:v>
                </c:pt>
                <c:pt idx="18">
                  <c:v>21.2</c:v>
                </c:pt>
                <c:pt idx="19">
                  <c:v>20.89</c:v>
                </c:pt>
                <c:pt idx="20">
                  <c:v>21.27</c:v>
                </c:pt>
                <c:pt idx="21">
                  <c:v>22.07</c:v>
                </c:pt>
                <c:pt idx="22">
                  <c:v>21.83</c:v>
                </c:pt>
                <c:pt idx="23">
                  <c:v>22.12</c:v>
                </c:pt>
                <c:pt idx="24">
                  <c:v>21.56</c:v>
                </c:pt>
                <c:pt idx="25">
                  <c:v>22.24</c:v>
                </c:pt>
                <c:pt idx="26">
                  <c:v>22.12</c:v>
                </c:pt>
                <c:pt idx="27">
                  <c:v>21.62</c:v>
                </c:pt>
                <c:pt idx="28">
                  <c:v>21.34</c:v>
                </c:pt>
                <c:pt idx="29">
                  <c:v>21.4</c:v>
                </c:pt>
                <c:pt idx="30">
                  <c:v>21.65</c:v>
                </c:pt>
                <c:pt idx="31">
                  <c:v>21.14</c:v>
                </c:pt>
                <c:pt idx="32">
                  <c:v>20.38</c:v>
                </c:pt>
                <c:pt idx="33">
                  <c:v>20.329999999999998</c:v>
                </c:pt>
                <c:pt idx="34">
                  <c:v>19.7</c:v>
                </c:pt>
                <c:pt idx="35">
                  <c:v>19.82</c:v>
                </c:pt>
                <c:pt idx="36">
                  <c:v>21.23</c:v>
                </c:pt>
                <c:pt idx="37">
                  <c:v>19.78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DC-784C-B129-C9DDDDF4BF9A}"/>
            </c:ext>
          </c:extLst>
        </c:ser>
        <c:ser>
          <c:idx val="1"/>
          <c:order val="1"/>
          <c:tx>
            <c:v>Predicted CP</c:v>
          </c:tx>
          <c:spPr>
            <a:ln w="38100">
              <a:noFill/>
            </a:ln>
          </c:spPr>
          <c:xVal>
            <c:numRef>
              <c:f>HUT!$C$2:$C$39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HUT!$B$68:$B$105</c:f>
              <c:numCache>
                <c:formatCode>General</c:formatCode>
                <c:ptCount val="38"/>
                <c:pt idx="0">
                  <c:v>17.619433198380566</c:v>
                </c:pt>
                <c:pt idx="1">
                  <c:v>17.735722726775357</c:v>
                </c:pt>
                <c:pt idx="2">
                  <c:v>17.852012255170148</c:v>
                </c:pt>
                <c:pt idx="3">
                  <c:v>17.968301783564939</c:v>
                </c:pt>
                <c:pt idx="4">
                  <c:v>18.084591311959734</c:v>
                </c:pt>
                <c:pt idx="5">
                  <c:v>18.200880840354525</c:v>
                </c:pt>
                <c:pt idx="6">
                  <c:v>18.317170368749316</c:v>
                </c:pt>
                <c:pt idx="7">
                  <c:v>18.433459897144107</c:v>
                </c:pt>
                <c:pt idx="8">
                  <c:v>18.549749425538899</c:v>
                </c:pt>
                <c:pt idx="9">
                  <c:v>18.66603895393369</c:v>
                </c:pt>
                <c:pt idx="10">
                  <c:v>18.782328482328481</c:v>
                </c:pt>
                <c:pt idx="11">
                  <c:v>18.898618010723272</c:v>
                </c:pt>
                <c:pt idx="12">
                  <c:v>19.014907539118063</c:v>
                </c:pt>
                <c:pt idx="13">
                  <c:v>19.131197067512858</c:v>
                </c:pt>
                <c:pt idx="14">
                  <c:v>19.247486595907649</c:v>
                </c:pt>
                <c:pt idx="15">
                  <c:v>19.36377612430244</c:v>
                </c:pt>
                <c:pt idx="16">
                  <c:v>19.480065652697231</c:v>
                </c:pt>
                <c:pt idx="17">
                  <c:v>19.596355181092022</c:v>
                </c:pt>
                <c:pt idx="18">
                  <c:v>19.712644709486813</c:v>
                </c:pt>
                <c:pt idx="19">
                  <c:v>19.828934237881604</c:v>
                </c:pt>
                <c:pt idx="20">
                  <c:v>19.945223766276396</c:v>
                </c:pt>
                <c:pt idx="21">
                  <c:v>20.061513294671187</c:v>
                </c:pt>
                <c:pt idx="22">
                  <c:v>20.177802823065978</c:v>
                </c:pt>
                <c:pt idx="23">
                  <c:v>20.294092351460769</c:v>
                </c:pt>
                <c:pt idx="24">
                  <c:v>20.410381879855564</c:v>
                </c:pt>
                <c:pt idx="25">
                  <c:v>20.526671408250355</c:v>
                </c:pt>
                <c:pt idx="26">
                  <c:v>20.642960936645146</c:v>
                </c:pt>
                <c:pt idx="27">
                  <c:v>20.759250465039937</c:v>
                </c:pt>
                <c:pt idx="28">
                  <c:v>20.875539993434728</c:v>
                </c:pt>
                <c:pt idx="29">
                  <c:v>20.991829521829519</c:v>
                </c:pt>
                <c:pt idx="30">
                  <c:v>21.10811905022431</c:v>
                </c:pt>
                <c:pt idx="31">
                  <c:v>21.224408578619101</c:v>
                </c:pt>
                <c:pt idx="32">
                  <c:v>21.340698107013893</c:v>
                </c:pt>
                <c:pt idx="33">
                  <c:v>21.456987635408687</c:v>
                </c:pt>
                <c:pt idx="34">
                  <c:v>21.573277163803478</c:v>
                </c:pt>
                <c:pt idx="35">
                  <c:v>21.689566692198269</c:v>
                </c:pt>
                <c:pt idx="36">
                  <c:v>21.805856220593061</c:v>
                </c:pt>
                <c:pt idx="37">
                  <c:v>21.922145748987852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DC-784C-B129-C9DDDDF4B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294991"/>
        <c:axId val="877843647"/>
      </c:scatterChart>
      <c:valAx>
        <c:axId val="878294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7843647"/>
        <c:crosses val="autoZero"/>
        <c:crossBetween val="midCat"/>
      </c:valAx>
      <c:valAx>
        <c:axId val="8778436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829499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CDNS!$C$2:$C$39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CDNS!$C$68:$C$105</c:f>
              <c:numCache>
                <c:formatCode>General</c:formatCode>
                <c:ptCount val="38"/>
                <c:pt idx="0">
                  <c:v>10.782105263157973</c:v>
                </c:pt>
                <c:pt idx="1">
                  <c:v>13.359288762446738</c:v>
                </c:pt>
                <c:pt idx="2">
                  <c:v>13.416472261735464</c:v>
                </c:pt>
                <c:pt idx="3">
                  <c:v>12.61365576102429</c:v>
                </c:pt>
                <c:pt idx="4">
                  <c:v>3.3108392603130028</c:v>
                </c:pt>
                <c:pt idx="5">
                  <c:v>2.6680227596017971</c:v>
                </c:pt>
                <c:pt idx="6">
                  <c:v>-0.59479374110946992</c:v>
                </c:pt>
                <c:pt idx="7">
                  <c:v>-4.2076102418207029</c:v>
                </c:pt>
                <c:pt idx="8">
                  <c:v>-7.1004267425319654</c:v>
                </c:pt>
                <c:pt idx="9">
                  <c:v>-10.393243243243148</c:v>
                </c:pt>
                <c:pt idx="10">
                  <c:v>-8.606059743954404</c:v>
                </c:pt>
                <c:pt idx="11">
                  <c:v>-9.3288762446656506</c:v>
                </c:pt>
                <c:pt idx="12">
                  <c:v>-4.6216927453768903</c:v>
                </c:pt>
                <c:pt idx="13">
                  <c:v>-4.5645092460881074</c:v>
                </c:pt>
                <c:pt idx="14">
                  <c:v>-3.0673257467993835</c:v>
                </c:pt>
                <c:pt idx="15">
                  <c:v>-3.2101422475105892</c:v>
                </c:pt>
                <c:pt idx="16">
                  <c:v>-3.1729587482218449</c:v>
                </c:pt>
                <c:pt idx="17">
                  <c:v>11.234224751066961</c:v>
                </c:pt>
                <c:pt idx="18">
                  <c:v>3.2714082503557051</c:v>
                </c:pt>
                <c:pt idx="19">
                  <c:v>4.7985917496444586</c:v>
                </c:pt>
                <c:pt idx="20">
                  <c:v>2.9757752489332461</c:v>
                </c:pt>
                <c:pt idx="21">
                  <c:v>1.2729587482220381</c:v>
                </c:pt>
                <c:pt idx="22">
                  <c:v>-2.2398577524892289</c:v>
                </c:pt>
                <c:pt idx="23">
                  <c:v>-6.8026742532005073</c:v>
                </c:pt>
                <c:pt idx="24">
                  <c:v>-7.7054907539117039</c:v>
                </c:pt>
                <c:pt idx="25">
                  <c:v>-12.618307254622948</c:v>
                </c:pt>
                <c:pt idx="26">
                  <c:v>-7.7911237553341834</c:v>
                </c:pt>
                <c:pt idx="27">
                  <c:v>-14.533940256045469</c:v>
                </c:pt>
                <c:pt idx="28">
                  <c:v>-15.236756756756677</c:v>
                </c:pt>
                <c:pt idx="29">
                  <c:v>-13.409573257467912</c:v>
                </c:pt>
                <c:pt idx="30">
                  <c:v>-8.002389758179163</c:v>
                </c:pt>
                <c:pt idx="31">
                  <c:v>-11.275206258890421</c:v>
                </c:pt>
                <c:pt idx="32">
                  <c:v>-5.1780227596016175</c:v>
                </c:pt>
                <c:pt idx="33">
                  <c:v>-5.0608392603128891</c:v>
                </c:pt>
                <c:pt idx="34">
                  <c:v>25.986344238975903</c:v>
                </c:pt>
                <c:pt idx="35">
                  <c:v>29.30352773826462</c:v>
                </c:pt>
                <c:pt idx="36">
                  <c:v>21.390711237553433</c:v>
                </c:pt>
                <c:pt idx="37">
                  <c:v>12.337894736842202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AB-A447-93CC-2545E567C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500783"/>
        <c:axId val="1126436127"/>
      </c:scatterChart>
      <c:valAx>
        <c:axId val="793500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6436127"/>
        <c:crosses val="autoZero"/>
        <c:crossBetween val="midCat"/>
      </c:valAx>
      <c:valAx>
        <c:axId val="11264361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935007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</c:v>
          </c:tx>
          <c:spPr>
            <a:ln w="38100">
              <a:noFill/>
            </a:ln>
          </c:spPr>
          <c:xVal>
            <c:numRef>
              <c:f>CDNS!$C$2:$C$39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CDNS!$D$2:$D$39</c:f>
              <c:numCache>
                <c:formatCode>General</c:formatCode>
                <c:ptCount val="38"/>
                <c:pt idx="0">
                  <c:v>301.66000000000003</c:v>
                </c:pt>
                <c:pt idx="1">
                  <c:v>305.69</c:v>
                </c:pt>
                <c:pt idx="2">
                  <c:v>307.2</c:v>
                </c:pt>
                <c:pt idx="3">
                  <c:v>307.85000000000002</c:v>
                </c:pt>
                <c:pt idx="4">
                  <c:v>300</c:v>
                </c:pt>
                <c:pt idx="5">
                  <c:v>300.81</c:v>
                </c:pt>
                <c:pt idx="6">
                  <c:v>299</c:v>
                </c:pt>
                <c:pt idx="7">
                  <c:v>296.83999999999997</c:v>
                </c:pt>
                <c:pt idx="8">
                  <c:v>295.39999999999998</c:v>
                </c:pt>
                <c:pt idx="9">
                  <c:v>293.56</c:v>
                </c:pt>
                <c:pt idx="10">
                  <c:v>296.8</c:v>
                </c:pt>
                <c:pt idx="11">
                  <c:v>297.52999999999997</c:v>
                </c:pt>
                <c:pt idx="12">
                  <c:v>303.69</c:v>
                </c:pt>
                <c:pt idx="13">
                  <c:v>305.2</c:v>
                </c:pt>
                <c:pt idx="14">
                  <c:v>308.14999999999998</c:v>
                </c:pt>
                <c:pt idx="15">
                  <c:v>309.45999999999998</c:v>
                </c:pt>
                <c:pt idx="16">
                  <c:v>310.95</c:v>
                </c:pt>
                <c:pt idx="17">
                  <c:v>326.81</c:v>
                </c:pt>
                <c:pt idx="18">
                  <c:v>320.3</c:v>
                </c:pt>
                <c:pt idx="19">
                  <c:v>323.27999999999997</c:v>
                </c:pt>
                <c:pt idx="20">
                  <c:v>322.91000000000003</c:v>
                </c:pt>
                <c:pt idx="21">
                  <c:v>322.66000000000003</c:v>
                </c:pt>
                <c:pt idx="22">
                  <c:v>320.60000000000002</c:v>
                </c:pt>
                <c:pt idx="23">
                  <c:v>317.49</c:v>
                </c:pt>
                <c:pt idx="24">
                  <c:v>318.04000000000002</c:v>
                </c:pt>
                <c:pt idx="25">
                  <c:v>314.58</c:v>
                </c:pt>
                <c:pt idx="26">
                  <c:v>320.86</c:v>
                </c:pt>
                <c:pt idx="27">
                  <c:v>315.57</c:v>
                </c:pt>
                <c:pt idx="28">
                  <c:v>316.32</c:v>
                </c:pt>
                <c:pt idx="29">
                  <c:v>319.60000000000002</c:v>
                </c:pt>
                <c:pt idx="30">
                  <c:v>326.45999999999998</c:v>
                </c:pt>
                <c:pt idx="31">
                  <c:v>324.64</c:v>
                </c:pt>
                <c:pt idx="32">
                  <c:v>332.19</c:v>
                </c:pt>
                <c:pt idx="33">
                  <c:v>333.76</c:v>
                </c:pt>
                <c:pt idx="34">
                  <c:v>366.26</c:v>
                </c:pt>
                <c:pt idx="35">
                  <c:v>371.03</c:v>
                </c:pt>
                <c:pt idx="36">
                  <c:v>364.57</c:v>
                </c:pt>
                <c:pt idx="37">
                  <c:v>356.97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6A-EB4C-B96C-267AFF1C6FEA}"/>
            </c:ext>
          </c:extLst>
        </c:ser>
        <c:ser>
          <c:idx val="1"/>
          <c:order val="1"/>
          <c:tx>
            <c:v>Predicted CP</c:v>
          </c:tx>
          <c:spPr>
            <a:ln w="38100">
              <a:noFill/>
            </a:ln>
          </c:spPr>
          <c:xVal>
            <c:numRef>
              <c:f>CDNS!$C$2:$C$39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CDNS!$B$68:$B$105</c:f>
              <c:numCache>
                <c:formatCode>General</c:formatCode>
                <c:ptCount val="38"/>
                <c:pt idx="0">
                  <c:v>290.87789473684205</c:v>
                </c:pt>
                <c:pt idx="1">
                  <c:v>292.33071123755326</c:v>
                </c:pt>
                <c:pt idx="2">
                  <c:v>293.78352773826452</c:v>
                </c:pt>
                <c:pt idx="3">
                  <c:v>295.23634423897573</c:v>
                </c:pt>
                <c:pt idx="4">
                  <c:v>296.689160739687</c:v>
                </c:pt>
                <c:pt idx="5">
                  <c:v>298.14197724039821</c:v>
                </c:pt>
                <c:pt idx="6">
                  <c:v>299.59479374110947</c:v>
                </c:pt>
                <c:pt idx="7">
                  <c:v>301.04761024182068</c:v>
                </c:pt>
                <c:pt idx="8">
                  <c:v>302.50042674253194</c:v>
                </c:pt>
                <c:pt idx="9">
                  <c:v>303.95324324324315</c:v>
                </c:pt>
                <c:pt idx="10">
                  <c:v>305.40605974395442</c:v>
                </c:pt>
                <c:pt idx="11">
                  <c:v>306.85887624466562</c:v>
                </c:pt>
                <c:pt idx="12">
                  <c:v>308.31169274537689</c:v>
                </c:pt>
                <c:pt idx="13">
                  <c:v>309.7645092460881</c:v>
                </c:pt>
                <c:pt idx="14">
                  <c:v>311.21732574679936</c:v>
                </c:pt>
                <c:pt idx="15">
                  <c:v>312.67014224751057</c:v>
                </c:pt>
                <c:pt idx="16">
                  <c:v>314.12295874822183</c:v>
                </c:pt>
                <c:pt idx="17">
                  <c:v>315.57577524893304</c:v>
                </c:pt>
                <c:pt idx="18">
                  <c:v>317.02859174964431</c:v>
                </c:pt>
                <c:pt idx="19">
                  <c:v>318.48140825035551</c:v>
                </c:pt>
                <c:pt idx="20">
                  <c:v>319.93422475106678</c:v>
                </c:pt>
                <c:pt idx="21">
                  <c:v>321.38704125177799</c:v>
                </c:pt>
                <c:pt idx="22">
                  <c:v>322.83985775248925</c:v>
                </c:pt>
                <c:pt idx="23">
                  <c:v>324.29267425320052</c:v>
                </c:pt>
                <c:pt idx="24">
                  <c:v>325.74549075391172</c:v>
                </c:pt>
                <c:pt idx="25">
                  <c:v>327.19830725462293</c:v>
                </c:pt>
                <c:pt idx="26">
                  <c:v>328.6511237553342</c:v>
                </c:pt>
                <c:pt idx="27">
                  <c:v>330.10394025604546</c:v>
                </c:pt>
                <c:pt idx="28">
                  <c:v>331.55675675675667</c:v>
                </c:pt>
                <c:pt idx="29">
                  <c:v>333.00957325746793</c:v>
                </c:pt>
                <c:pt idx="30">
                  <c:v>334.46238975817914</c:v>
                </c:pt>
                <c:pt idx="31">
                  <c:v>335.91520625889041</c:v>
                </c:pt>
                <c:pt idx="32">
                  <c:v>337.36802275960162</c:v>
                </c:pt>
                <c:pt idx="33">
                  <c:v>338.82083926031288</c:v>
                </c:pt>
                <c:pt idx="34">
                  <c:v>340.27365576102409</c:v>
                </c:pt>
                <c:pt idx="35">
                  <c:v>341.72647226173535</c:v>
                </c:pt>
                <c:pt idx="36">
                  <c:v>343.17928876244656</c:v>
                </c:pt>
                <c:pt idx="37">
                  <c:v>344.63210526315783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6A-EB4C-B96C-267AFF1C6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082111"/>
        <c:axId val="774790751"/>
      </c:scatterChart>
      <c:valAx>
        <c:axId val="774082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4790751"/>
        <c:crosses val="autoZero"/>
        <c:crossBetween val="midCat"/>
      </c:valAx>
      <c:valAx>
        <c:axId val="7747907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40821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CDNS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CDNS!$D$1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CDNS!$C$2:$C$39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CDNS!$D$2:$D$39</c:f>
              <c:numCache>
                <c:formatCode>General</c:formatCode>
                <c:ptCount val="38"/>
                <c:pt idx="0">
                  <c:v>301.66000000000003</c:v>
                </c:pt>
                <c:pt idx="1">
                  <c:v>305.69</c:v>
                </c:pt>
                <c:pt idx="2">
                  <c:v>307.2</c:v>
                </c:pt>
                <c:pt idx="3">
                  <c:v>307.85000000000002</c:v>
                </c:pt>
                <c:pt idx="4">
                  <c:v>300</c:v>
                </c:pt>
                <c:pt idx="5">
                  <c:v>300.81</c:v>
                </c:pt>
                <c:pt idx="6">
                  <c:v>299</c:v>
                </c:pt>
                <c:pt idx="7">
                  <c:v>296.83999999999997</c:v>
                </c:pt>
                <c:pt idx="8">
                  <c:v>295.39999999999998</c:v>
                </c:pt>
                <c:pt idx="9">
                  <c:v>293.56</c:v>
                </c:pt>
                <c:pt idx="10">
                  <c:v>296.8</c:v>
                </c:pt>
                <c:pt idx="11">
                  <c:v>297.52999999999997</c:v>
                </c:pt>
                <c:pt idx="12">
                  <c:v>303.69</c:v>
                </c:pt>
                <c:pt idx="13">
                  <c:v>305.2</c:v>
                </c:pt>
                <c:pt idx="14">
                  <c:v>308.14999999999998</c:v>
                </c:pt>
                <c:pt idx="15">
                  <c:v>309.45999999999998</c:v>
                </c:pt>
                <c:pt idx="16">
                  <c:v>310.95</c:v>
                </c:pt>
                <c:pt idx="17">
                  <c:v>326.81</c:v>
                </c:pt>
                <c:pt idx="18">
                  <c:v>320.3</c:v>
                </c:pt>
                <c:pt idx="19">
                  <c:v>323.27999999999997</c:v>
                </c:pt>
                <c:pt idx="20">
                  <c:v>322.91000000000003</c:v>
                </c:pt>
                <c:pt idx="21">
                  <c:v>322.66000000000003</c:v>
                </c:pt>
                <c:pt idx="22">
                  <c:v>320.60000000000002</c:v>
                </c:pt>
                <c:pt idx="23">
                  <c:v>317.49</c:v>
                </c:pt>
                <c:pt idx="24">
                  <c:v>318.04000000000002</c:v>
                </c:pt>
                <c:pt idx="25">
                  <c:v>314.58</c:v>
                </c:pt>
                <c:pt idx="26">
                  <c:v>320.86</c:v>
                </c:pt>
                <c:pt idx="27">
                  <c:v>315.57</c:v>
                </c:pt>
                <c:pt idx="28">
                  <c:v>316.32</c:v>
                </c:pt>
                <c:pt idx="29">
                  <c:v>319.60000000000002</c:v>
                </c:pt>
                <c:pt idx="30">
                  <c:v>326.45999999999998</c:v>
                </c:pt>
                <c:pt idx="31">
                  <c:v>324.64</c:v>
                </c:pt>
                <c:pt idx="32">
                  <c:v>332.19</c:v>
                </c:pt>
                <c:pt idx="33">
                  <c:v>333.76</c:v>
                </c:pt>
                <c:pt idx="34">
                  <c:v>366.26</c:v>
                </c:pt>
                <c:pt idx="35">
                  <c:v>371.03</c:v>
                </c:pt>
                <c:pt idx="36">
                  <c:v>364.57</c:v>
                </c:pt>
                <c:pt idx="37">
                  <c:v>356.97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6A-674E-A468-C47B6DB5ED73}"/>
            </c:ext>
          </c:extLst>
        </c:ser>
        <c:ser>
          <c:idx val="1"/>
          <c:order val="1"/>
          <c:tx>
            <c:strRef>
              <c:f>CDNS!$E$1</c:f>
              <c:strCache>
                <c:ptCount val="1"/>
                <c:pt idx="0">
                  <c:v>SMA5	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CDNS!$C$2:$C$39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CDNS!$E$2:$E$39</c:f>
              <c:numCache>
                <c:formatCode>General</c:formatCode>
                <c:ptCount val="38"/>
                <c:pt idx="5">
                  <c:v>304.48</c:v>
                </c:pt>
                <c:pt idx="6">
                  <c:v>304.31</c:v>
                </c:pt>
                <c:pt idx="7">
                  <c:v>302.97199999999998</c:v>
                </c:pt>
                <c:pt idx="8">
                  <c:v>300.89999999999998</c:v>
                </c:pt>
                <c:pt idx="9">
                  <c:v>298.40999999999997</c:v>
                </c:pt>
                <c:pt idx="10">
                  <c:v>297.12199999999996</c:v>
                </c:pt>
                <c:pt idx="11">
                  <c:v>296.32</c:v>
                </c:pt>
                <c:pt idx="12">
                  <c:v>296.02599999999995</c:v>
                </c:pt>
                <c:pt idx="13">
                  <c:v>297.39600000000002</c:v>
                </c:pt>
                <c:pt idx="14">
                  <c:v>299.35599999999999</c:v>
                </c:pt>
                <c:pt idx="15">
                  <c:v>302.274</c:v>
                </c:pt>
                <c:pt idx="16">
                  <c:v>304.80600000000004</c:v>
                </c:pt>
                <c:pt idx="17">
                  <c:v>307.49</c:v>
                </c:pt>
                <c:pt idx="18">
                  <c:v>312.11399999999998</c:v>
                </c:pt>
                <c:pt idx="19">
                  <c:v>315.13399999999996</c:v>
                </c:pt>
                <c:pt idx="20">
                  <c:v>318.15999999999997</c:v>
                </c:pt>
                <c:pt idx="21">
                  <c:v>320.85000000000002</c:v>
                </c:pt>
                <c:pt idx="22">
                  <c:v>323.19200000000001</c:v>
                </c:pt>
                <c:pt idx="23">
                  <c:v>321.95</c:v>
                </c:pt>
                <c:pt idx="24">
                  <c:v>321.38800000000003</c:v>
                </c:pt>
                <c:pt idx="25">
                  <c:v>320.34000000000003</c:v>
                </c:pt>
                <c:pt idx="26">
                  <c:v>318.67399999999998</c:v>
                </c:pt>
                <c:pt idx="27">
                  <c:v>318.31400000000002</c:v>
                </c:pt>
                <c:pt idx="28">
                  <c:v>317.30799999999994</c:v>
                </c:pt>
                <c:pt idx="29">
                  <c:v>317.07399999999996</c:v>
                </c:pt>
                <c:pt idx="30">
                  <c:v>317.38599999999997</c:v>
                </c:pt>
                <c:pt idx="31">
                  <c:v>319.762</c:v>
                </c:pt>
                <c:pt idx="32">
                  <c:v>320.51800000000003</c:v>
                </c:pt>
                <c:pt idx="33">
                  <c:v>323.84199999999998</c:v>
                </c:pt>
                <c:pt idx="34">
                  <c:v>327.33</c:v>
                </c:pt>
                <c:pt idx="35">
                  <c:v>336.66199999999998</c:v>
                </c:pt>
                <c:pt idx="36">
                  <c:v>345.57599999999996</c:v>
                </c:pt>
                <c:pt idx="37">
                  <c:v>353.56200000000001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16A-674E-A468-C47B6DB5E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084096"/>
        <c:axId val="1177419520"/>
      </c:scatterChart>
      <c:valAx>
        <c:axId val="1177084096"/>
        <c:scaling>
          <c:orientation val="minMax"/>
          <c:max val="3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TD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419520"/>
        <c:crosses val="autoZero"/>
        <c:crossBetween val="midCat"/>
      </c:valAx>
      <c:valAx>
        <c:axId val="1177419520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$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084096"/>
        <c:crosses val="autoZero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CSX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CSX!$D$1</c:f>
              <c:strCache>
                <c:ptCount val="1"/>
                <c:pt idx="0">
                  <c:v>CP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CSX!$C$2:$C$39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CSX!$D$2:$D$39</c:f>
              <c:numCache>
                <c:formatCode>General</c:formatCode>
                <c:ptCount val="38"/>
                <c:pt idx="0">
                  <c:v>31.98</c:v>
                </c:pt>
                <c:pt idx="1">
                  <c:v>32.61</c:v>
                </c:pt>
                <c:pt idx="2">
                  <c:v>32.32</c:v>
                </c:pt>
                <c:pt idx="3">
                  <c:v>32.39</c:v>
                </c:pt>
                <c:pt idx="4">
                  <c:v>32.119999999999997</c:v>
                </c:pt>
                <c:pt idx="5">
                  <c:v>32.56</c:v>
                </c:pt>
                <c:pt idx="6">
                  <c:v>32.119999999999997</c:v>
                </c:pt>
                <c:pt idx="7">
                  <c:v>32.24</c:v>
                </c:pt>
                <c:pt idx="8">
                  <c:v>32.06</c:v>
                </c:pt>
                <c:pt idx="9">
                  <c:v>32.42</c:v>
                </c:pt>
                <c:pt idx="10">
                  <c:v>32.479999999999997</c:v>
                </c:pt>
                <c:pt idx="11">
                  <c:v>32.49</c:v>
                </c:pt>
                <c:pt idx="12">
                  <c:v>32.57</c:v>
                </c:pt>
                <c:pt idx="13">
                  <c:v>32.909999999999997</c:v>
                </c:pt>
                <c:pt idx="14">
                  <c:v>32.630000000000003</c:v>
                </c:pt>
                <c:pt idx="15">
                  <c:v>33.47</c:v>
                </c:pt>
                <c:pt idx="16">
                  <c:v>33.61</c:v>
                </c:pt>
                <c:pt idx="17">
                  <c:v>33.6</c:v>
                </c:pt>
                <c:pt idx="18">
                  <c:v>33.049999999999997</c:v>
                </c:pt>
                <c:pt idx="19">
                  <c:v>33.39</c:v>
                </c:pt>
                <c:pt idx="20">
                  <c:v>33.33</c:v>
                </c:pt>
                <c:pt idx="21">
                  <c:v>33.54</c:v>
                </c:pt>
                <c:pt idx="22">
                  <c:v>34.1</c:v>
                </c:pt>
                <c:pt idx="23">
                  <c:v>33.979999999999997</c:v>
                </c:pt>
                <c:pt idx="24">
                  <c:v>33.479999999999997</c:v>
                </c:pt>
                <c:pt idx="25">
                  <c:v>33.26</c:v>
                </c:pt>
                <c:pt idx="26">
                  <c:v>34.5</c:v>
                </c:pt>
                <c:pt idx="27">
                  <c:v>34.39</c:v>
                </c:pt>
                <c:pt idx="28">
                  <c:v>34.36</c:v>
                </c:pt>
                <c:pt idx="29">
                  <c:v>35.229999999999997</c:v>
                </c:pt>
                <c:pt idx="30">
                  <c:v>34.97</c:v>
                </c:pt>
                <c:pt idx="31">
                  <c:v>35</c:v>
                </c:pt>
                <c:pt idx="32">
                  <c:v>35.76</c:v>
                </c:pt>
                <c:pt idx="33">
                  <c:v>35.71</c:v>
                </c:pt>
                <c:pt idx="34">
                  <c:v>35.42</c:v>
                </c:pt>
                <c:pt idx="35">
                  <c:v>35.29</c:v>
                </c:pt>
                <c:pt idx="36">
                  <c:v>35.54</c:v>
                </c:pt>
                <c:pt idx="37">
                  <c:v>35.01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3E-4143-A64B-7AFE5F4A0E80}"/>
            </c:ext>
          </c:extLst>
        </c:ser>
        <c:ser>
          <c:idx val="1"/>
          <c:order val="1"/>
          <c:tx>
            <c:strRef>
              <c:f>CSX!$E$1</c:f>
              <c:strCache>
                <c:ptCount val="1"/>
                <c:pt idx="0">
                  <c:v>SMA5	</c:v>
                </c:pt>
              </c:strCache>
            </c:strRef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CSX!$C$2:$C$39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CSX!$E$2:$E$39</c:f>
              <c:numCache>
                <c:formatCode>General</c:formatCode>
                <c:ptCount val="38"/>
                <c:pt idx="5">
                  <c:v>32.284000000000006</c:v>
                </c:pt>
                <c:pt idx="6">
                  <c:v>32.4</c:v>
                </c:pt>
                <c:pt idx="7">
                  <c:v>32.302000000000007</c:v>
                </c:pt>
                <c:pt idx="8">
                  <c:v>32.286000000000001</c:v>
                </c:pt>
                <c:pt idx="9">
                  <c:v>32.220000000000006</c:v>
                </c:pt>
                <c:pt idx="10">
                  <c:v>32.280000000000008</c:v>
                </c:pt>
                <c:pt idx="11">
                  <c:v>32.263999999999996</c:v>
                </c:pt>
                <c:pt idx="12">
                  <c:v>32.338000000000008</c:v>
                </c:pt>
                <c:pt idx="13">
                  <c:v>32.404000000000003</c:v>
                </c:pt>
                <c:pt idx="14">
                  <c:v>32.573999999999998</c:v>
                </c:pt>
                <c:pt idx="15">
                  <c:v>32.616</c:v>
                </c:pt>
                <c:pt idx="16">
                  <c:v>32.814</c:v>
                </c:pt>
                <c:pt idx="17">
                  <c:v>33.037999999999997</c:v>
                </c:pt>
                <c:pt idx="18">
                  <c:v>33.244</c:v>
                </c:pt>
                <c:pt idx="19">
                  <c:v>33.272000000000006</c:v>
                </c:pt>
                <c:pt idx="20">
                  <c:v>33.423999999999999</c:v>
                </c:pt>
                <c:pt idx="21">
                  <c:v>33.396000000000001</c:v>
                </c:pt>
                <c:pt idx="22">
                  <c:v>33.381999999999998</c:v>
                </c:pt>
                <c:pt idx="23">
                  <c:v>33.481999999999999</c:v>
                </c:pt>
                <c:pt idx="24">
                  <c:v>33.667999999999992</c:v>
                </c:pt>
                <c:pt idx="25">
                  <c:v>33.685999999999993</c:v>
                </c:pt>
                <c:pt idx="26">
                  <c:v>33.671999999999997</c:v>
                </c:pt>
                <c:pt idx="27">
                  <c:v>33.863999999999997</c:v>
                </c:pt>
                <c:pt idx="28">
                  <c:v>33.922000000000004</c:v>
                </c:pt>
                <c:pt idx="29">
                  <c:v>33.998000000000005</c:v>
                </c:pt>
                <c:pt idx="30">
                  <c:v>34.347999999999999</c:v>
                </c:pt>
                <c:pt idx="31">
                  <c:v>34.69</c:v>
                </c:pt>
                <c:pt idx="32">
                  <c:v>34.79</c:v>
                </c:pt>
                <c:pt idx="33">
                  <c:v>35.064</c:v>
                </c:pt>
                <c:pt idx="34">
                  <c:v>35.333999999999996</c:v>
                </c:pt>
                <c:pt idx="35">
                  <c:v>35.372</c:v>
                </c:pt>
                <c:pt idx="36">
                  <c:v>35.435999999999993</c:v>
                </c:pt>
                <c:pt idx="37">
                  <c:v>35.543999999999997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3E-4143-A64B-7AFE5F4A0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7084096"/>
        <c:axId val="1177419520"/>
      </c:scatterChart>
      <c:valAx>
        <c:axId val="1177084096"/>
        <c:scaling>
          <c:orientation val="minMax"/>
          <c:max val="38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TD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419520"/>
        <c:crosses val="autoZero"/>
        <c:crossBetween val="midCat"/>
      </c:valAx>
      <c:valAx>
        <c:axId val="1177419520"/>
        <c:scaling>
          <c:orientation val="minMax"/>
          <c:max val="4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$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CN"/>
          </a:p>
        </c:txPr>
        <c:crossAx val="1177084096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CN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CSX!$C$2:$C$39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CSX!$C$68:$C$105</c:f>
              <c:numCache>
                <c:formatCode>General</c:formatCode>
                <c:ptCount val="38"/>
                <c:pt idx="0">
                  <c:v>0.28437246963562046</c:v>
                </c:pt>
                <c:pt idx="1">
                  <c:v>0.81272786956996868</c:v>
                </c:pt>
                <c:pt idx="2">
                  <c:v>0.42108326950431518</c:v>
                </c:pt>
                <c:pt idx="3">
                  <c:v>0.38943866943866112</c:v>
                </c:pt>
                <c:pt idx="4">
                  <c:v>1.7794069373010757E-2</c:v>
                </c:pt>
                <c:pt idx="5">
                  <c:v>0.35614946930736124</c:v>
                </c:pt>
                <c:pt idx="6">
                  <c:v>-0.18549513075829793</c:v>
                </c:pt>
                <c:pt idx="7">
                  <c:v>-0.16713973082394773</c:v>
                </c:pt>
                <c:pt idx="8">
                  <c:v>-0.44878433088959468</c:v>
                </c:pt>
                <c:pt idx="9">
                  <c:v>-0.1904289309552496</c:v>
                </c:pt>
                <c:pt idx="10">
                  <c:v>-0.23207353102090877</c:v>
                </c:pt>
                <c:pt idx="11">
                  <c:v>-0.323718131086558</c:v>
                </c:pt>
                <c:pt idx="12">
                  <c:v>-0.34536273115220695</c:v>
                </c:pt>
                <c:pt idx="13">
                  <c:v>-0.10700733121786499</c:v>
                </c:pt>
                <c:pt idx="14">
                  <c:v>-0.48865193128351336</c:v>
                </c:pt>
                <c:pt idx="15">
                  <c:v>0.2497034686508286</c:v>
                </c:pt>
                <c:pt idx="16">
                  <c:v>0.28805886858518193</c:v>
                </c:pt>
                <c:pt idx="17">
                  <c:v>0.17641426851952957</c:v>
                </c:pt>
                <c:pt idx="18">
                  <c:v>-0.47523033154612904</c:v>
                </c:pt>
                <c:pt idx="19">
                  <c:v>-0.23687493161177997</c:v>
                </c:pt>
                <c:pt idx="20">
                  <c:v>-0.39851953167743659</c:v>
                </c:pt>
                <c:pt idx="21">
                  <c:v>-0.29016413174308298</c:v>
                </c:pt>
                <c:pt idx="22">
                  <c:v>0.16819126819126495</c:v>
                </c:pt>
                <c:pt idx="23">
                  <c:v>-5.3453331874393939E-2</c:v>
                </c:pt>
                <c:pt idx="24">
                  <c:v>-0.65509793194004828</c:v>
                </c:pt>
                <c:pt idx="25">
                  <c:v>-0.97674253200569439</c:v>
                </c:pt>
                <c:pt idx="26">
                  <c:v>0.16161286792865326</c:v>
                </c:pt>
                <c:pt idx="27">
                  <c:v>-5.0031732137000517E-2</c:v>
                </c:pt>
                <c:pt idx="28">
                  <c:v>-0.181676332202656</c:v>
                </c:pt>
                <c:pt idx="29">
                  <c:v>0.5866790677316942</c:v>
                </c:pt>
                <c:pt idx="30">
                  <c:v>0.22503446766604185</c:v>
                </c:pt>
                <c:pt idx="31">
                  <c:v>0.15338986760038864</c:v>
                </c:pt>
                <c:pt idx="32">
                  <c:v>0.81174526753473231</c:v>
                </c:pt>
                <c:pt idx="33">
                  <c:v>0.66010066746908791</c:v>
                </c:pt>
                <c:pt idx="34">
                  <c:v>0.26845606740343442</c:v>
                </c:pt>
                <c:pt idx="35">
                  <c:v>3.6811467337777515E-2</c:v>
                </c:pt>
                <c:pt idx="36">
                  <c:v>0.18516686727212317</c:v>
                </c:pt>
                <c:pt idx="37">
                  <c:v>-0.44647773279352521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28-EE48-A6BE-98E0A10C0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310175"/>
        <c:axId val="878663407"/>
      </c:scatterChart>
      <c:valAx>
        <c:axId val="878310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8663407"/>
        <c:crosses val="autoZero"/>
        <c:crossBetween val="midCat"/>
      </c:valAx>
      <c:valAx>
        <c:axId val="878663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831017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CP</c:v>
          </c:tx>
          <c:spPr>
            <a:ln w="38100">
              <a:noFill/>
            </a:ln>
          </c:spPr>
          <c:xVal>
            <c:numRef>
              <c:f>CSX!$C$2:$C$39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CSX!$D$2:$D$39</c:f>
              <c:numCache>
                <c:formatCode>General</c:formatCode>
                <c:ptCount val="38"/>
                <c:pt idx="0">
                  <c:v>31.98</c:v>
                </c:pt>
                <c:pt idx="1">
                  <c:v>32.61</c:v>
                </c:pt>
                <c:pt idx="2">
                  <c:v>32.32</c:v>
                </c:pt>
                <c:pt idx="3">
                  <c:v>32.39</c:v>
                </c:pt>
                <c:pt idx="4">
                  <c:v>32.119999999999997</c:v>
                </c:pt>
                <c:pt idx="5">
                  <c:v>32.56</c:v>
                </c:pt>
                <c:pt idx="6">
                  <c:v>32.119999999999997</c:v>
                </c:pt>
                <c:pt idx="7">
                  <c:v>32.24</c:v>
                </c:pt>
                <c:pt idx="8">
                  <c:v>32.06</c:v>
                </c:pt>
                <c:pt idx="9">
                  <c:v>32.42</c:v>
                </c:pt>
                <c:pt idx="10">
                  <c:v>32.479999999999997</c:v>
                </c:pt>
                <c:pt idx="11">
                  <c:v>32.49</c:v>
                </c:pt>
                <c:pt idx="12">
                  <c:v>32.57</c:v>
                </c:pt>
                <c:pt idx="13">
                  <c:v>32.909999999999997</c:v>
                </c:pt>
                <c:pt idx="14">
                  <c:v>32.630000000000003</c:v>
                </c:pt>
                <c:pt idx="15">
                  <c:v>33.47</c:v>
                </c:pt>
                <c:pt idx="16">
                  <c:v>33.61</c:v>
                </c:pt>
                <c:pt idx="17">
                  <c:v>33.6</c:v>
                </c:pt>
                <c:pt idx="18">
                  <c:v>33.049999999999997</c:v>
                </c:pt>
                <c:pt idx="19">
                  <c:v>33.39</c:v>
                </c:pt>
                <c:pt idx="20">
                  <c:v>33.33</c:v>
                </c:pt>
                <c:pt idx="21">
                  <c:v>33.54</c:v>
                </c:pt>
                <c:pt idx="22">
                  <c:v>34.1</c:v>
                </c:pt>
                <c:pt idx="23">
                  <c:v>33.979999999999997</c:v>
                </c:pt>
                <c:pt idx="24">
                  <c:v>33.479999999999997</c:v>
                </c:pt>
                <c:pt idx="25">
                  <c:v>33.26</c:v>
                </c:pt>
                <c:pt idx="26">
                  <c:v>34.5</c:v>
                </c:pt>
                <c:pt idx="27">
                  <c:v>34.39</c:v>
                </c:pt>
                <c:pt idx="28">
                  <c:v>34.36</c:v>
                </c:pt>
                <c:pt idx="29">
                  <c:v>35.229999999999997</c:v>
                </c:pt>
                <c:pt idx="30">
                  <c:v>34.97</c:v>
                </c:pt>
                <c:pt idx="31">
                  <c:v>35</c:v>
                </c:pt>
                <c:pt idx="32">
                  <c:v>35.76</c:v>
                </c:pt>
                <c:pt idx="33">
                  <c:v>35.71</c:v>
                </c:pt>
                <c:pt idx="34">
                  <c:v>35.42</c:v>
                </c:pt>
                <c:pt idx="35">
                  <c:v>35.29</c:v>
                </c:pt>
                <c:pt idx="36">
                  <c:v>35.54</c:v>
                </c:pt>
                <c:pt idx="37">
                  <c:v>35.01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4-574C-9C01-5FD47AF9BE75}"/>
            </c:ext>
          </c:extLst>
        </c:ser>
        <c:ser>
          <c:idx val="1"/>
          <c:order val="1"/>
          <c:tx>
            <c:v>Predicted CP</c:v>
          </c:tx>
          <c:spPr>
            <a:ln w="38100">
              <a:noFill/>
            </a:ln>
          </c:spPr>
          <c:xVal>
            <c:numRef>
              <c:f>CSX!$C$2:$C$39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CSX!$B$68:$B$105</c:f>
              <c:numCache>
                <c:formatCode>General</c:formatCode>
                <c:ptCount val="38"/>
                <c:pt idx="0">
                  <c:v>31.69562753036438</c:v>
                </c:pt>
                <c:pt idx="1">
                  <c:v>31.797272130430031</c:v>
                </c:pt>
                <c:pt idx="2">
                  <c:v>31.898916730495685</c:v>
                </c:pt>
                <c:pt idx="3">
                  <c:v>32.000561330561339</c:v>
                </c:pt>
                <c:pt idx="4">
                  <c:v>32.102205930626987</c:v>
                </c:pt>
                <c:pt idx="5">
                  <c:v>32.203850530692641</c:v>
                </c:pt>
                <c:pt idx="6">
                  <c:v>32.305495130758295</c:v>
                </c:pt>
                <c:pt idx="7">
                  <c:v>32.40713973082395</c:v>
                </c:pt>
                <c:pt idx="8">
                  <c:v>32.508784330889597</c:v>
                </c:pt>
                <c:pt idx="9">
                  <c:v>32.610428930955251</c:v>
                </c:pt>
                <c:pt idx="10">
                  <c:v>32.712073531020906</c:v>
                </c:pt>
                <c:pt idx="11">
                  <c:v>32.81371813108656</c:v>
                </c:pt>
                <c:pt idx="12">
                  <c:v>32.915362731152207</c:v>
                </c:pt>
                <c:pt idx="13">
                  <c:v>33.017007331217862</c:v>
                </c:pt>
                <c:pt idx="14">
                  <c:v>33.118651931283516</c:v>
                </c:pt>
                <c:pt idx="15">
                  <c:v>33.22029653134917</c:v>
                </c:pt>
                <c:pt idx="16">
                  <c:v>33.321941131414818</c:v>
                </c:pt>
                <c:pt idx="17">
                  <c:v>33.423585731480472</c:v>
                </c:pt>
                <c:pt idx="18">
                  <c:v>33.525230331546126</c:v>
                </c:pt>
                <c:pt idx="19">
                  <c:v>33.626874931611781</c:v>
                </c:pt>
                <c:pt idx="20">
                  <c:v>33.728519531677435</c:v>
                </c:pt>
                <c:pt idx="21">
                  <c:v>33.830164131743082</c:v>
                </c:pt>
                <c:pt idx="22">
                  <c:v>33.931808731808736</c:v>
                </c:pt>
                <c:pt idx="23">
                  <c:v>34.033453331874391</c:v>
                </c:pt>
                <c:pt idx="24">
                  <c:v>34.135097931940045</c:v>
                </c:pt>
                <c:pt idx="25">
                  <c:v>34.236742532005692</c:v>
                </c:pt>
                <c:pt idx="26">
                  <c:v>34.338387132071347</c:v>
                </c:pt>
                <c:pt idx="27">
                  <c:v>34.440031732137001</c:v>
                </c:pt>
                <c:pt idx="28">
                  <c:v>34.541676332202655</c:v>
                </c:pt>
                <c:pt idx="29">
                  <c:v>34.643320932268303</c:v>
                </c:pt>
                <c:pt idx="30">
                  <c:v>34.744965532333957</c:v>
                </c:pt>
                <c:pt idx="31">
                  <c:v>34.846610132399611</c:v>
                </c:pt>
                <c:pt idx="32">
                  <c:v>34.948254732465266</c:v>
                </c:pt>
                <c:pt idx="33">
                  <c:v>35.049899332530913</c:v>
                </c:pt>
                <c:pt idx="34">
                  <c:v>35.151543932596567</c:v>
                </c:pt>
                <c:pt idx="35">
                  <c:v>35.253188532662222</c:v>
                </c:pt>
                <c:pt idx="36">
                  <c:v>35.354833132727876</c:v>
                </c:pt>
                <c:pt idx="37">
                  <c:v>35.456477732793523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84-574C-9C01-5FD47AF9B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310175"/>
        <c:axId val="758921967"/>
      </c:scatterChart>
      <c:valAx>
        <c:axId val="878310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8921967"/>
        <c:crosses val="autoZero"/>
        <c:crossBetween val="midCat"/>
      </c:valAx>
      <c:valAx>
        <c:axId val="758921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83101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460237</xdr:colOff>
      <xdr:row>0</xdr:row>
      <xdr:rowOff>206239</xdr:rowOff>
    </xdr:from>
    <xdr:to>
      <xdr:col>14</xdr:col>
      <xdr:colOff>683846</xdr:colOff>
      <xdr:row>17</xdr:row>
      <xdr:rowOff>86838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53FBA338-FCAA-E944-8D2E-34C27DCF1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317500</xdr:colOff>
      <xdr:row>44</xdr:row>
      <xdr:rowOff>114300</xdr:rowOff>
    </xdr:from>
    <xdr:to>
      <xdr:col>15</xdr:col>
      <xdr:colOff>317500</xdr:colOff>
      <xdr:row>54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9474EE-E5D4-250E-9327-D84EAF0C5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317500</xdr:colOff>
      <xdr:row>54</xdr:row>
      <xdr:rowOff>114300</xdr:rowOff>
    </xdr:from>
    <xdr:to>
      <xdr:col>15</xdr:col>
      <xdr:colOff>317499</xdr:colOff>
      <xdr:row>64</xdr:row>
      <xdr:rowOff>103446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4CD442-4ED7-F112-CD7A-5168F0214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0.01804</cdr:x>
      <cdr:y>0.09046</cdr:y>
    </cdr:from>
    <cdr:to>
      <cdr:x>0.07265</cdr:x>
      <cdr:y>0.16168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A62BBA90-E9CE-F8B6-5AB5-104FE8A6AE04}"/>
            </a:ext>
          </a:extLst>
        </cdr:cNvPr>
        <cdr:cNvSpPr txBox="1"/>
      </cdr:nvSpPr>
      <cdr:spPr>
        <a:xfrm xmlns:a="http://schemas.openxmlformats.org/drawingml/2006/main">
          <a:off x="82496" y="248138"/>
          <a:ext cx="249658" cy="195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739094</xdr:colOff>
      <xdr:row>4</xdr:row>
      <xdr:rowOff>114300</xdr:rowOff>
    </xdr:from>
    <xdr:to>
      <xdr:col>15</xdr:col>
      <xdr:colOff>137203</xdr:colOff>
      <xdr:row>21</xdr:row>
      <xdr:rowOff>30502</xdr:rowOff>
    </xdr:to>
    <xdr:graphicFrame macro="">
      <xdr:nvGraphicFramePr>
        <xdr:cNvPr id="2" name="图表 9">
          <a:extLst>
            <a:ext uri="{FF2B5EF4-FFF2-40B4-BE49-F238E27FC236}">
              <a16:creationId xmlns:a16="http://schemas.microsoft.com/office/drawing/2014/main" id="{50BB51CF-960F-8048-985C-73BDE3B48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2712</xdr:colOff>
      <xdr:row>67</xdr:row>
      <xdr:rowOff>195603</xdr:rowOff>
    </xdr:from>
    <xdr:to>
      <xdr:col>10</xdr:col>
      <xdr:colOff>795105</xdr:colOff>
      <xdr:row>78</xdr:row>
      <xdr:rowOff>27464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552C77-3B70-9265-60BB-D86A6341A2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2712</xdr:colOff>
      <xdr:row>78</xdr:row>
      <xdr:rowOff>2060</xdr:rowOff>
    </xdr:from>
    <xdr:to>
      <xdr:col>10</xdr:col>
      <xdr:colOff>795104</xdr:colOff>
      <xdr:row>88</xdr:row>
      <xdr:rowOff>27460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36FE20-4AAC-559A-5413-7F50D6977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0.01804</cdr:x>
      <cdr:y>0.09046</cdr:y>
    </cdr:from>
    <cdr:to>
      <cdr:x>0.07265</cdr:x>
      <cdr:y>0.16168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A62BBA90-E9CE-F8B6-5AB5-104FE8A6AE04}"/>
            </a:ext>
          </a:extLst>
        </cdr:cNvPr>
        <cdr:cNvSpPr txBox="1"/>
      </cdr:nvSpPr>
      <cdr:spPr>
        <a:xfrm xmlns:a="http://schemas.openxmlformats.org/drawingml/2006/main">
          <a:off x="82496" y="248138"/>
          <a:ext cx="249658" cy="195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12700</xdr:rowOff>
    </xdr:from>
    <xdr:to>
      <xdr:col>15</xdr:col>
      <xdr:colOff>249009</xdr:colOff>
      <xdr:row>15</xdr:row>
      <xdr:rowOff>182902</xdr:rowOff>
    </xdr:to>
    <xdr:graphicFrame macro="">
      <xdr:nvGraphicFramePr>
        <xdr:cNvPr id="2" name="图表 9">
          <a:extLst>
            <a:ext uri="{FF2B5EF4-FFF2-40B4-BE49-F238E27FC236}">
              <a16:creationId xmlns:a16="http://schemas.microsoft.com/office/drawing/2014/main" id="{937FD0A2-E7CC-0741-9002-94F66028E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177800</xdr:colOff>
      <xdr:row>49</xdr:row>
      <xdr:rowOff>127000</xdr:rowOff>
    </xdr:from>
    <xdr:to>
      <xdr:col>15</xdr:col>
      <xdr:colOff>177800</xdr:colOff>
      <xdr:row>59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2A7570-E625-FB12-32B5-CE662706F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177800</xdr:colOff>
      <xdr:row>59</xdr:row>
      <xdr:rowOff>101600</xdr:rowOff>
    </xdr:from>
    <xdr:to>
      <xdr:col>15</xdr:col>
      <xdr:colOff>177800</xdr:colOff>
      <xdr:row>69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784D26-FC89-E9E6-E8F0-1E15D3868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0.01804</cdr:x>
      <cdr:y>0.09046</cdr:y>
    </cdr:from>
    <cdr:to>
      <cdr:x>0.07265</cdr:x>
      <cdr:y>0.16168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A62BBA90-E9CE-F8B6-5AB5-104FE8A6AE04}"/>
            </a:ext>
          </a:extLst>
        </cdr:cNvPr>
        <cdr:cNvSpPr txBox="1"/>
      </cdr:nvSpPr>
      <cdr:spPr>
        <a:xfrm xmlns:a="http://schemas.openxmlformats.org/drawingml/2006/main">
          <a:off x="82496" y="248138"/>
          <a:ext cx="249658" cy="195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58</xdr:row>
      <xdr:rowOff>12700</xdr:rowOff>
    </xdr:from>
    <xdr:to>
      <xdr:col>13</xdr:col>
      <xdr:colOff>38100</xdr:colOff>
      <xdr:row>68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318DC-E086-1657-A171-0D8C04B96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</xdr:colOff>
      <xdr:row>68</xdr:row>
      <xdr:rowOff>25400</xdr:rowOff>
    </xdr:from>
    <xdr:to>
      <xdr:col>13</xdr:col>
      <xdr:colOff>50800</xdr:colOff>
      <xdr:row>78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061EAF-0F66-60A2-B229-062CC647E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546100</xdr:colOff>
      <xdr:row>2</xdr:row>
      <xdr:rowOff>0</xdr:rowOff>
    </xdr:from>
    <xdr:to>
      <xdr:col>14</xdr:col>
      <xdr:colOff>795109</xdr:colOff>
      <xdr:row>16</xdr:row>
      <xdr:rowOff>170202</xdr:rowOff>
    </xdr:to>
    <xdr:graphicFrame macro="">
      <xdr:nvGraphicFramePr>
        <xdr:cNvPr id="4" name="图表 9">
          <a:extLst>
            <a:ext uri="{FF2B5EF4-FFF2-40B4-BE49-F238E27FC236}">
              <a16:creationId xmlns:a16="http://schemas.microsoft.com/office/drawing/2014/main" id="{01ABA4C6-D2F6-DC4C-BDD3-E0CF7E266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0.01804</cdr:x>
      <cdr:y>0.09046</cdr:y>
    </cdr:from>
    <cdr:to>
      <cdr:x>0.07265</cdr:x>
      <cdr:y>0.16168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A62BBA90-E9CE-F8B6-5AB5-104FE8A6AE04}"/>
            </a:ext>
          </a:extLst>
        </cdr:cNvPr>
        <cdr:cNvSpPr txBox="1"/>
      </cdr:nvSpPr>
      <cdr:spPr>
        <a:xfrm xmlns:a="http://schemas.openxmlformats.org/drawingml/2006/main">
          <a:off x="82496" y="248138"/>
          <a:ext cx="249658" cy="195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48</xdr:row>
      <xdr:rowOff>25400</xdr:rowOff>
    </xdr:from>
    <xdr:to>
      <xdr:col>13</xdr:col>
      <xdr:colOff>114300</xdr:colOff>
      <xdr:row>58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BECA3-648E-3F17-6EA0-82AE8C359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127000</xdr:colOff>
      <xdr:row>58</xdr:row>
      <xdr:rowOff>63500</xdr:rowOff>
    </xdr:from>
    <xdr:to>
      <xdr:col>13</xdr:col>
      <xdr:colOff>127000</xdr:colOff>
      <xdr:row>68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190232-0080-B20F-BEDD-D4F22F78E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15</xdr:col>
      <xdr:colOff>249009</xdr:colOff>
      <xdr:row>15</xdr:row>
      <xdr:rowOff>170202</xdr:rowOff>
    </xdr:to>
    <xdr:graphicFrame macro="">
      <xdr:nvGraphicFramePr>
        <xdr:cNvPr id="8" name="图表 9">
          <a:extLst>
            <a:ext uri="{FF2B5EF4-FFF2-40B4-BE49-F238E27FC236}">
              <a16:creationId xmlns:a16="http://schemas.microsoft.com/office/drawing/2014/main" id="{91FC9204-D0A6-88F8-4925-2107F3274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0.01804</cdr:x>
      <cdr:y>0.09046</cdr:y>
    </cdr:from>
    <cdr:to>
      <cdr:x>0.07265</cdr:x>
      <cdr:y>0.16168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A62BBA90-E9CE-F8B6-5AB5-104FE8A6AE04}"/>
            </a:ext>
          </a:extLst>
        </cdr:cNvPr>
        <cdr:cNvSpPr txBox="1"/>
      </cdr:nvSpPr>
      <cdr:spPr>
        <a:xfrm xmlns:a="http://schemas.openxmlformats.org/drawingml/2006/main">
          <a:off x="82496" y="248138"/>
          <a:ext cx="249658" cy="195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249009</xdr:colOff>
      <xdr:row>15</xdr:row>
      <xdr:rowOff>170202</xdr:rowOff>
    </xdr:to>
    <xdr:graphicFrame macro="">
      <xdr:nvGraphicFramePr>
        <xdr:cNvPr id="2" name="图表 9">
          <a:extLst>
            <a:ext uri="{FF2B5EF4-FFF2-40B4-BE49-F238E27FC236}">
              <a16:creationId xmlns:a16="http://schemas.microsoft.com/office/drawing/2014/main" id="{712EF77A-1AC7-EC48-BE95-A63687E47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63500</xdr:colOff>
      <xdr:row>58</xdr:row>
      <xdr:rowOff>0</xdr:rowOff>
    </xdr:from>
    <xdr:to>
      <xdr:col>13</xdr:col>
      <xdr:colOff>63500</xdr:colOff>
      <xdr:row>68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6C86CA-6C39-8438-BE6E-5198E2B28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63500</xdr:colOff>
      <xdr:row>68</xdr:row>
      <xdr:rowOff>12700</xdr:rowOff>
    </xdr:from>
    <xdr:to>
      <xdr:col>13</xdr:col>
      <xdr:colOff>63500</xdr:colOff>
      <xdr:row>78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7B1D04-130F-3050-E259-8F00D5872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0.01804</cdr:x>
      <cdr:y>0.09046</cdr:y>
    </cdr:from>
    <cdr:to>
      <cdr:x>0.07265</cdr:x>
      <cdr:y>0.16168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A62BBA90-E9CE-F8B6-5AB5-104FE8A6AE04}"/>
            </a:ext>
          </a:extLst>
        </cdr:cNvPr>
        <cdr:cNvSpPr txBox="1"/>
      </cdr:nvSpPr>
      <cdr:spPr>
        <a:xfrm xmlns:a="http://schemas.openxmlformats.org/drawingml/2006/main">
          <a:off x="82496" y="248138"/>
          <a:ext cx="249658" cy="195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49</xdr:row>
      <xdr:rowOff>114300</xdr:rowOff>
    </xdr:from>
    <xdr:to>
      <xdr:col>13</xdr:col>
      <xdr:colOff>38100</xdr:colOff>
      <xdr:row>59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41A5F9-D766-26E8-A590-E02044D30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59</xdr:row>
      <xdr:rowOff>139700</xdr:rowOff>
    </xdr:from>
    <xdr:to>
      <xdr:col>13</xdr:col>
      <xdr:colOff>38100</xdr:colOff>
      <xdr:row>69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9C8312-A1C0-BFB5-7CF5-D9E1F011C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292100</xdr:colOff>
      <xdr:row>1</xdr:row>
      <xdr:rowOff>0</xdr:rowOff>
    </xdr:from>
    <xdr:to>
      <xdr:col>14</xdr:col>
      <xdr:colOff>541109</xdr:colOff>
      <xdr:row>15</xdr:row>
      <xdr:rowOff>170202</xdr:rowOff>
    </xdr:to>
    <xdr:graphicFrame macro="">
      <xdr:nvGraphicFramePr>
        <xdr:cNvPr id="5" name="图表 9">
          <a:extLst>
            <a:ext uri="{FF2B5EF4-FFF2-40B4-BE49-F238E27FC236}">
              <a16:creationId xmlns:a16="http://schemas.microsoft.com/office/drawing/2014/main" id="{4D5CEE73-3BD3-A34A-B2F5-B7CB89A1A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0.01804</cdr:x>
      <cdr:y>0.09046</cdr:y>
    </cdr:from>
    <cdr:to>
      <cdr:x>0.07265</cdr:x>
      <cdr:y>0.16168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A62BBA90-E9CE-F8B6-5AB5-104FE8A6AE04}"/>
            </a:ext>
          </a:extLst>
        </cdr:cNvPr>
        <cdr:cNvSpPr txBox="1"/>
      </cdr:nvSpPr>
      <cdr:spPr>
        <a:xfrm xmlns:a="http://schemas.openxmlformats.org/drawingml/2006/main">
          <a:off x="82496" y="248138"/>
          <a:ext cx="249658" cy="195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249009</xdr:colOff>
      <xdr:row>15</xdr:row>
      <xdr:rowOff>170202</xdr:rowOff>
    </xdr:to>
    <xdr:graphicFrame macro="">
      <xdr:nvGraphicFramePr>
        <xdr:cNvPr id="2" name="图表 9">
          <a:extLst>
            <a:ext uri="{FF2B5EF4-FFF2-40B4-BE49-F238E27FC236}">
              <a16:creationId xmlns:a16="http://schemas.microsoft.com/office/drawing/2014/main" id="{B1327E3A-492F-064F-A3EB-494C04DEA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</xdr:colOff>
      <xdr:row>53</xdr:row>
      <xdr:rowOff>0</xdr:rowOff>
    </xdr:from>
    <xdr:to>
      <xdr:col>13</xdr:col>
      <xdr:colOff>25400</xdr:colOff>
      <xdr:row>63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0CD3C2-256C-45BF-3F71-7878F9915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25400</xdr:colOff>
      <xdr:row>63</xdr:row>
      <xdr:rowOff>0</xdr:rowOff>
    </xdr:from>
    <xdr:to>
      <xdr:col>13</xdr:col>
      <xdr:colOff>25400</xdr:colOff>
      <xdr:row>73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051C7-7BEB-EC30-3666-51F0BF2E1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0.01804</cdr:x>
      <cdr:y>0.09046</cdr:y>
    </cdr:from>
    <cdr:to>
      <cdr:x>0.07265</cdr:x>
      <cdr:y>0.16168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A62BBA90-E9CE-F8B6-5AB5-104FE8A6AE04}"/>
            </a:ext>
          </a:extLst>
        </cdr:cNvPr>
        <cdr:cNvSpPr txBox="1"/>
      </cdr:nvSpPr>
      <cdr:spPr>
        <a:xfrm xmlns:a="http://schemas.openxmlformats.org/drawingml/2006/main">
          <a:off x="82496" y="248138"/>
          <a:ext cx="249658" cy="1953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7C8920-229C-5146-891E-E8F7510EAC69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5725175607600397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4D25-7C08-BA48-8756-4D0B358D3805}">
  <dimension ref="A1:D9"/>
  <sheetViews>
    <sheetView showGridLines="0" zoomScaleNormal="100" workbookViewId="0">
      <selection activeCell="A2" sqref="A2:B9"/>
    </sheetView>
  </sheetViews>
  <sheetFormatPr baseColWidth="10" defaultRowHeight="16" x14ac:dyDescent="0.2"/>
  <cols>
    <col min="1" max="1" width="27.6640625" style="1" customWidth="1"/>
    <col min="2" max="2" width="10.83203125" style="1"/>
    <col min="3" max="3" width="12.33203125" style="1" customWidth="1"/>
    <col min="4" max="4" width="37.6640625" style="1" customWidth="1"/>
    <col min="5" max="16384" width="10.83203125" style="1"/>
  </cols>
  <sheetData>
    <row r="1" spans="1:4" s="27" customFormat="1" x14ac:dyDescent="0.2">
      <c r="A1" s="59" t="s">
        <v>44</v>
      </c>
      <c r="B1" s="60" t="s">
        <v>39</v>
      </c>
      <c r="C1" s="60" t="s">
        <v>40</v>
      </c>
      <c r="D1" s="61" t="s">
        <v>41</v>
      </c>
    </row>
    <row r="2" spans="1:4" x14ac:dyDescent="0.2">
      <c r="A2" s="43" t="s">
        <v>37</v>
      </c>
      <c r="B2" s="46" t="s">
        <v>38</v>
      </c>
      <c r="C2" s="46" t="s">
        <v>42</v>
      </c>
      <c r="D2" s="53" t="s">
        <v>43</v>
      </c>
    </row>
    <row r="3" spans="1:4" x14ac:dyDescent="0.2">
      <c r="A3" s="43" t="s">
        <v>45</v>
      </c>
      <c r="B3" s="46" t="s">
        <v>46</v>
      </c>
      <c r="C3" s="46" t="s">
        <v>47</v>
      </c>
      <c r="D3" s="53" t="s">
        <v>47</v>
      </c>
    </row>
    <row r="4" spans="1:4" x14ac:dyDescent="0.2">
      <c r="A4" s="43" t="s">
        <v>49</v>
      </c>
      <c r="B4" s="46" t="s">
        <v>50</v>
      </c>
      <c r="C4" s="46" t="s">
        <v>51</v>
      </c>
      <c r="D4" s="53" t="s">
        <v>52</v>
      </c>
    </row>
    <row r="5" spans="1:4" x14ac:dyDescent="0.2">
      <c r="A5" s="43" t="s">
        <v>59</v>
      </c>
      <c r="B5" s="46" t="s">
        <v>60</v>
      </c>
      <c r="C5" s="46" t="s">
        <v>61</v>
      </c>
      <c r="D5" s="53" t="s">
        <v>62</v>
      </c>
    </row>
    <row r="6" spans="1:4" x14ac:dyDescent="0.2">
      <c r="A6" s="43" t="s">
        <v>66</v>
      </c>
      <c r="B6" s="46" t="s">
        <v>67</v>
      </c>
      <c r="C6" s="46" t="s">
        <v>61</v>
      </c>
      <c r="D6" s="53" t="s">
        <v>68</v>
      </c>
    </row>
    <row r="7" spans="1:4" x14ac:dyDescent="0.2">
      <c r="A7" s="43" t="s">
        <v>70</v>
      </c>
      <c r="B7" s="46" t="s">
        <v>69</v>
      </c>
      <c r="C7" s="46" t="s">
        <v>61</v>
      </c>
      <c r="D7" s="53" t="s">
        <v>68</v>
      </c>
    </row>
    <row r="8" spans="1:4" x14ac:dyDescent="0.2">
      <c r="A8" s="43" t="s">
        <v>71</v>
      </c>
      <c r="B8" s="46" t="s">
        <v>72</v>
      </c>
      <c r="C8" s="46" t="s">
        <v>73</v>
      </c>
      <c r="D8" s="53" t="s">
        <v>74</v>
      </c>
    </row>
    <row r="9" spans="1:4" x14ac:dyDescent="0.2">
      <c r="A9" s="54" t="s">
        <v>76</v>
      </c>
      <c r="B9" s="55" t="s">
        <v>75</v>
      </c>
      <c r="C9" s="55" t="s">
        <v>51</v>
      </c>
      <c r="D9" s="58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533B-B1A7-9C48-ABDE-4B9AAC37D774}">
  <dimension ref="A1:I123"/>
  <sheetViews>
    <sheetView topLeftCell="A106" zoomScaleNormal="100" workbookViewId="0">
      <selection activeCell="A108" sqref="A108:D119"/>
    </sheetView>
  </sheetViews>
  <sheetFormatPr baseColWidth="10" defaultRowHeight="16" x14ac:dyDescent="0.2"/>
  <cols>
    <col min="1" max="1" width="11.33203125" style="2" bestFit="1" customWidth="1"/>
    <col min="2" max="4" width="11" style="1" bestFit="1" customWidth="1"/>
    <col min="5" max="5" width="10.83203125" style="8"/>
    <col min="6" max="7" width="11" style="1" bestFit="1" customWidth="1"/>
    <col min="8" max="8" width="10.83203125" style="1"/>
    <col min="9" max="9" width="11" style="1" bestFit="1" customWidth="1"/>
    <col min="10" max="16384" width="10.83203125" style="1"/>
  </cols>
  <sheetData>
    <row r="1" spans="1:9" s="10" customFormat="1" ht="19" customHeight="1" x14ac:dyDescent="0.2">
      <c r="A1" s="9" t="s">
        <v>1</v>
      </c>
      <c r="B1" s="10" t="s">
        <v>2</v>
      </c>
      <c r="C1" s="10" t="s">
        <v>0</v>
      </c>
      <c r="D1" s="10" t="s">
        <v>3</v>
      </c>
      <c r="E1" s="11" t="s">
        <v>4</v>
      </c>
      <c r="F1" s="10" t="s">
        <v>5</v>
      </c>
    </row>
    <row r="2" spans="1:9" x14ac:dyDescent="0.2">
      <c r="A2" s="26">
        <v>45817</v>
      </c>
      <c r="B2" s="5">
        <v>184400</v>
      </c>
      <c r="C2" s="1">
        <v>1</v>
      </c>
      <c r="D2" s="3">
        <v>11.92</v>
      </c>
      <c r="E2" s="6"/>
      <c r="F2" s="1" cm="1">
        <f t="array" ref="F2">SUMPRODUCT(--(D7:D39&gt;E7:E39))/33</f>
        <v>0.66666666666666663</v>
      </c>
      <c r="G2" s="3"/>
      <c r="H2" s="3"/>
      <c r="I2" s="4"/>
    </row>
    <row r="3" spans="1:9" x14ac:dyDescent="0.2">
      <c r="A3" s="26">
        <v>45818</v>
      </c>
      <c r="B3" s="5">
        <v>190700</v>
      </c>
      <c r="C3" s="1">
        <v>2</v>
      </c>
      <c r="D3" s="3">
        <v>11.94</v>
      </c>
      <c r="E3" s="6"/>
      <c r="F3" s="3"/>
      <c r="G3" s="3"/>
      <c r="H3" s="3"/>
      <c r="I3" s="4"/>
    </row>
    <row r="4" spans="1:9" x14ac:dyDescent="0.2">
      <c r="A4" s="26">
        <v>45819</v>
      </c>
      <c r="B4" s="5">
        <v>1080700</v>
      </c>
      <c r="C4" s="1">
        <v>3</v>
      </c>
      <c r="D4" s="3">
        <v>12.11</v>
      </c>
      <c r="E4" s="6"/>
      <c r="F4" s="3"/>
      <c r="G4" s="3"/>
      <c r="H4" s="3"/>
      <c r="I4" s="4"/>
    </row>
    <row r="5" spans="1:9" x14ac:dyDescent="0.2">
      <c r="A5" s="26">
        <v>45820</v>
      </c>
      <c r="B5" s="5">
        <v>88800</v>
      </c>
      <c r="C5" s="1">
        <v>4</v>
      </c>
      <c r="D5" s="3">
        <v>11.32</v>
      </c>
      <c r="E5" s="6"/>
      <c r="F5" s="3"/>
      <c r="G5" s="3"/>
      <c r="H5" s="3"/>
      <c r="I5" s="4"/>
    </row>
    <row r="6" spans="1:9" x14ac:dyDescent="0.2">
      <c r="A6" s="26">
        <v>45821</v>
      </c>
      <c r="B6" s="5">
        <v>172800</v>
      </c>
      <c r="C6" s="1">
        <v>5</v>
      </c>
      <c r="D6" s="3">
        <v>10.33</v>
      </c>
      <c r="E6" s="6"/>
      <c r="F6" s="3"/>
      <c r="G6" s="3"/>
      <c r="H6" s="3"/>
      <c r="I6" s="4"/>
    </row>
    <row r="7" spans="1:9" x14ac:dyDescent="0.2">
      <c r="A7" s="26">
        <v>45824</v>
      </c>
      <c r="B7" s="5">
        <v>137600</v>
      </c>
      <c r="C7" s="1">
        <v>6</v>
      </c>
      <c r="D7" s="3">
        <v>9.9700000000000006</v>
      </c>
      <c r="E7" s="7">
        <f>AVERAGE(D2:D6)</f>
        <v>11.523999999999999</v>
      </c>
      <c r="H7" s="3"/>
      <c r="I7" s="4"/>
    </row>
    <row r="8" spans="1:9" x14ac:dyDescent="0.2">
      <c r="A8" s="26">
        <v>45825</v>
      </c>
      <c r="B8" s="5">
        <v>176000</v>
      </c>
      <c r="C8" s="1">
        <v>7</v>
      </c>
      <c r="D8" s="3">
        <v>9.68</v>
      </c>
      <c r="E8" s="7">
        <f t="shared" ref="E8:E38" si="0">AVERAGE(D3:D7)</f>
        <v>11.133999999999999</v>
      </c>
      <c r="F8" s="3"/>
      <c r="G8" s="3"/>
      <c r="H8" s="3"/>
      <c r="I8" s="4"/>
    </row>
    <row r="9" spans="1:9" x14ac:dyDescent="0.2">
      <c r="A9" s="26">
        <v>45826</v>
      </c>
      <c r="B9" s="5">
        <v>130900</v>
      </c>
      <c r="C9" s="1">
        <v>8</v>
      </c>
      <c r="D9" s="3">
        <v>9.31</v>
      </c>
      <c r="E9" s="7">
        <f t="shared" si="0"/>
        <v>10.681999999999999</v>
      </c>
      <c r="F9" s="3"/>
      <c r="G9" s="3"/>
      <c r="H9" s="3"/>
      <c r="I9" s="4"/>
    </row>
    <row r="10" spans="1:9" x14ac:dyDescent="0.2">
      <c r="A10" s="26">
        <v>45828</v>
      </c>
      <c r="B10" s="5">
        <v>180100</v>
      </c>
      <c r="C10" s="1">
        <v>9</v>
      </c>
      <c r="D10" s="3">
        <v>9.19</v>
      </c>
      <c r="E10" s="7">
        <f t="shared" si="0"/>
        <v>10.122</v>
      </c>
      <c r="F10" s="3"/>
      <c r="G10" s="3"/>
      <c r="H10" s="3"/>
      <c r="I10" s="4"/>
    </row>
    <row r="11" spans="1:9" x14ac:dyDescent="0.2">
      <c r="A11" s="26">
        <v>45831</v>
      </c>
      <c r="B11" s="5">
        <v>113700</v>
      </c>
      <c r="C11" s="1">
        <v>10</v>
      </c>
      <c r="D11" s="3">
        <v>9.4700000000000006</v>
      </c>
      <c r="E11" s="7">
        <f t="shared" si="0"/>
        <v>9.6959999999999997</v>
      </c>
      <c r="F11" s="3"/>
      <c r="G11" s="3"/>
      <c r="H11" s="3"/>
      <c r="I11" s="4"/>
    </row>
    <row r="12" spans="1:9" x14ac:dyDescent="0.2">
      <c r="A12" s="26">
        <v>45832</v>
      </c>
      <c r="B12" s="5">
        <v>179900</v>
      </c>
      <c r="C12" s="1">
        <v>11</v>
      </c>
      <c r="D12" s="3">
        <v>10.02</v>
      </c>
      <c r="E12" s="7">
        <f t="shared" si="0"/>
        <v>9.5239999999999991</v>
      </c>
      <c r="F12" s="3"/>
      <c r="G12" s="3"/>
      <c r="H12" s="3"/>
      <c r="I12" s="4"/>
    </row>
    <row r="13" spans="1:9" x14ac:dyDescent="0.2">
      <c r="A13" s="26">
        <v>45833</v>
      </c>
      <c r="B13" s="5">
        <v>121000</v>
      </c>
      <c r="C13" s="1">
        <v>12</v>
      </c>
      <c r="D13" s="3">
        <v>10.19</v>
      </c>
      <c r="E13" s="7">
        <f t="shared" si="0"/>
        <v>9.5340000000000007</v>
      </c>
      <c r="F13" s="3"/>
      <c r="G13" s="3"/>
      <c r="H13" s="3"/>
      <c r="I13" s="4"/>
    </row>
    <row r="14" spans="1:9" x14ac:dyDescent="0.2">
      <c r="A14" s="26">
        <v>45834</v>
      </c>
      <c r="B14" s="5">
        <v>145400</v>
      </c>
      <c r="C14" s="1">
        <v>13</v>
      </c>
      <c r="D14" s="3">
        <v>10.15</v>
      </c>
      <c r="E14" s="7">
        <f t="shared" si="0"/>
        <v>9.6359999999999992</v>
      </c>
      <c r="F14" s="3"/>
      <c r="G14" s="3"/>
      <c r="H14" s="3"/>
      <c r="I14" s="4"/>
    </row>
    <row r="15" spans="1:9" x14ac:dyDescent="0.2">
      <c r="A15" s="26">
        <v>45835</v>
      </c>
      <c r="B15" s="5">
        <v>489000</v>
      </c>
      <c r="C15" s="1">
        <v>14</v>
      </c>
      <c r="D15" s="3">
        <v>9.58</v>
      </c>
      <c r="E15" s="7">
        <f t="shared" si="0"/>
        <v>9.8039999999999985</v>
      </c>
      <c r="F15" s="3"/>
      <c r="G15" s="3"/>
      <c r="H15" s="3"/>
      <c r="I15" s="4"/>
    </row>
    <row r="16" spans="1:9" x14ac:dyDescent="0.2">
      <c r="A16" s="26">
        <v>45838</v>
      </c>
      <c r="B16" s="5">
        <v>165500</v>
      </c>
      <c r="C16" s="1">
        <v>15</v>
      </c>
      <c r="D16" s="3">
        <v>9.69</v>
      </c>
      <c r="E16" s="7">
        <f t="shared" si="0"/>
        <v>9.8819999999999997</v>
      </c>
      <c r="F16" s="3"/>
      <c r="G16" s="3"/>
      <c r="H16" s="3"/>
      <c r="I16" s="4"/>
    </row>
    <row r="17" spans="1:9" x14ac:dyDescent="0.2">
      <c r="A17" s="26">
        <v>45839</v>
      </c>
      <c r="B17" s="5">
        <v>260100</v>
      </c>
      <c r="C17" s="1">
        <v>16</v>
      </c>
      <c r="D17" s="3">
        <v>9.14</v>
      </c>
      <c r="E17" s="7">
        <f t="shared" si="0"/>
        <v>9.9259999999999984</v>
      </c>
      <c r="F17" s="3"/>
      <c r="G17" s="3"/>
      <c r="H17" s="3"/>
      <c r="I17" s="4"/>
    </row>
    <row r="18" spans="1:9" x14ac:dyDescent="0.2">
      <c r="A18" s="26">
        <v>45840</v>
      </c>
      <c r="B18" s="5">
        <v>194400</v>
      </c>
      <c r="C18" s="1">
        <v>17</v>
      </c>
      <c r="D18" s="3">
        <v>10.220000000000001</v>
      </c>
      <c r="E18" s="7">
        <f t="shared" si="0"/>
        <v>9.75</v>
      </c>
      <c r="F18" s="3"/>
      <c r="G18" s="3"/>
      <c r="H18" s="3"/>
      <c r="I18" s="4"/>
    </row>
    <row r="19" spans="1:9" x14ac:dyDescent="0.2">
      <c r="A19" s="26">
        <v>45841</v>
      </c>
      <c r="B19" s="5">
        <v>145700</v>
      </c>
      <c r="C19" s="1">
        <v>18</v>
      </c>
      <c r="D19" s="3">
        <v>10.029999999999999</v>
      </c>
      <c r="E19" s="7">
        <f t="shared" si="0"/>
        <v>9.7560000000000002</v>
      </c>
      <c r="F19" s="3"/>
      <c r="G19" s="3"/>
      <c r="H19" s="3"/>
      <c r="I19" s="4"/>
    </row>
    <row r="20" spans="1:9" x14ac:dyDescent="0.2">
      <c r="A20" s="26">
        <v>45845</v>
      </c>
      <c r="B20" s="5">
        <v>117300</v>
      </c>
      <c r="C20" s="1">
        <v>19</v>
      </c>
      <c r="D20" s="3">
        <v>9.7899999999999991</v>
      </c>
      <c r="E20" s="7">
        <f t="shared" si="0"/>
        <v>9.7320000000000011</v>
      </c>
      <c r="F20" s="3"/>
      <c r="G20" s="3"/>
      <c r="H20" s="3"/>
      <c r="I20" s="4"/>
    </row>
    <row r="21" spans="1:9" x14ac:dyDescent="0.2">
      <c r="A21" s="26">
        <v>45846</v>
      </c>
      <c r="B21" s="5">
        <v>163200</v>
      </c>
      <c r="C21" s="1">
        <v>20</v>
      </c>
      <c r="D21" s="3">
        <v>9.9700000000000006</v>
      </c>
      <c r="E21" s="7">
        <f t="shared" si="0"/>
        <v>9.7739999999999991</v>
      </c>
      <c r="F21" s="3"/>
      <c r="G21" s="3"/>
      <c r="H21" s="3"/>
      <c r="I21" s="4"/>
    </row>
    <row r="22" spans="1:9" x14ac:dyDescent="0.2">
      <c r="A22" s="26">
        <v>45847</v>
      </c>
      <c r="B22" s="5">
        <v>272000</v>
      </c>
      <c r="C22" s="1">
        <v>21</v>
      </c>
      <c r="D22" s="3">
        <v>10.49</v>
      </c>
      <c r="E22" s="7">
        <f t="shared" si="0"/>
        <v>9.83</v>
      </c>
      <c r="F22" s="3"/>
      <c r="G22" s="3"/>
      <c r="H22" s="3"/>
      <c r="I22" s="4"/>
    </row>
    <row r="23" spans="1:9" x14ac:dyDescent="0.2">
      <c r="A23" s="26">
        <v>45848</v>
      </c>
      <c r="B23" s="5">
        <v>256300</v>
      </c>
      <c r="C23" s="1">
        <v>22</v>
      </c>
      <c r="D23" s="3">
        <v>12.07</v>
      </c>
      <c r="E23" s="7">
        <f t="shared" si="0"/>
        <v>10.1</v>
      </c>
      <c r="F23" s="3"/>
      <c r="G23" s="3"/>
      <c r="H23" s="3"/>
      <c r="I23" s="4"/>
    </row>
    <row r="24" spans="1:9" x14ac:dyDescent="0.2">
      <c r="A24" s="26">
        <v>45849</v>
      </c>
      <c r="B24" s="5">
        <v>100700</v>
      </c>
      <c r="C24" s="1">
        <v>23</v>
      </c>
      <c r="D24" s="3">
        <v>11.18</v>
      </c>
      <c r="E24" s="7">
        <f t="shared" si="0"/>
        <v>10.47</v>
      </c>
      <c r="F24" s="3"/>
      <c r="G24" s="3"/>
      <c r="H24" s="3"/>
      <c r="I24" s="4"/>
    </row>
    <row r="25" spans="1:9" x14ac:dyDescent="0.2">
      <c r="A25" s="26">
        <v>45852</v>
      </c>
      <c r="B25" s="5">
        <v>234200</v>
      </c>
      <c r="C25" s="1">
        <v>24</v>
      </c>
      <c r="D25" s="3">
        <v>12.82</v>
      </c>
      <c r="E25" s="7">
        <f t="shared" si="0"/>
        <v>10.7</v>
      </c>
      <c r="F25" s="3"/>
      <c r="G25" s="3"/>
      <c r="H25" s="3"/>
      <c r="I25" s="4"/>
    </row>
    <row r="26" spans="1:9" x14ac:dyDescent="0.2">
      <c r="A26" s="26">
        <v>45853</v>
      </c>
      <c r="B26" s="5">
        <v>298800</v>
      </c>
      <c r="C26" s="1">
        <v>25</v>
      </c>
      <c r="D26" s="3">
        <v>12.35</v>
      </c>
      <c r="E26" s="7">
        <f t="shared" si="0"/>
        <v>11.306000000000001</v>
      </c>
      <c r="F26" s="3"/>
      <c r="G26" s="3"/>
      <c r="H26" s="3"/>
      <c r="I26" s="4"/>
    </row>
    <row r="27" spans="1:9" x14ac:dyDescent="0.2">
      <c r="A27" s="26">
        <v>45854</v>
      </c>
      <c r="B27" s="5">
        <v>95000</v>
      </c>
      <c r="C27" s="1">
        <v>26</v>
      </c>
      <c r="D27" s="3">
        <v>13.07</v>
      </c>
      <c r="E27" s="7">
        <f t="shared" si="0"/>
        <v>11.782</v>
      </c>
      <c r="F27" s="3"/>
      <c r="G27" s="3"/>
      <c r="H27" s="3"/>
      <c r="I27" s="4"/>
    </row>
    <row r="28" spans="1:9" x14ac:dyDescent="0.2">
      <c r="A28" s="26">
        <v>45855</v>
      </c>
      <c r="B28" s="5">
        <v>109600</v>
      </c>
      <c r="C28" s="1">
        <v>27</v>
      </c>
      <c r="D28" s="3">
        <v>13.18</v>
      </c>
      <c r="E28" s="7">
        <f t="shared" si="0"/>
        <v>12.298</v>
      </c>
      <c r="F28" s="3"/>
      <c r="G28" s="3"/>
      <c r="H28" s="3"/>
      <c r="I28" s="4"/>
    </row>
    <row r="29" spans="1:9" x14ac:dyDescent="0.2">
      <c r="A29" s="26">
        <v>45856</v>
      </c>
      <c r="B29" s="5">
        <v>106800</v>
      </c>
      <c r="C29" s="1">
        <v>28</v>
      </c>
      <c r="D29" s="3">
        <v>13.73</v>
      </c>
      <c r="E29" s="7">
        <f t="shared" si="0"/>
        <v>12.52</v>
      </c>
      <c r="F29" s="3"/>
      <c r="G29" s="3"/>
      <c r="H29" s="3"/>
      <c r="I29" s="4"/>
    </row>
    <row r="30" spans="1:9" x14ac:dyDescent="0.2">
      <c r="A30" s="26">
        <v>45859</v>
      </c>
      <c r="B30" s="5">
        <v>85200</v>
      </c>
      <c r="C30" s="1">
        <v>29</v>
      </c>
      <c r="D30" s="3">
        <v>14.29</v>
      </c>
      <c r="E30" s="7">
        <f t="shared" si="0"/>
        <v>13.030000000000001</v>
      </c>
      <c r="F30" s="3"/>
      <c r="G30" s="3"/>
      <c r="H30" s="3"/>
      <c r="I30" s="4"/>
    </row>
    <row r="31" spans="1:9" x14ac:dyDescent="0.2">
      <c r="A31" s="26">
        <v>45860</v>
      </c>
      <c r="B31" s="5">
        <v>101000</v>
      </c>
      <c r="C31" s="1">
        <v>30</v>
      </c>
      <c r="D31" s="3">
        <v>14.31</v>
      </c>
      <c r="E31" s="7">
        <f t="shared" si="0"/>
        <v>13.324000000000002</v>
      </c>
      <c r="F31" s="3"/>
      <c r="G31" s="3"/>
      <c r="H31" s="3"/>
      <c r="I31" s="4"/>
    </row>
    <row r="32" spans="1:9" x14ac:dyDescent="0.2">
      <c r="A32" s="26">
        <v>45861</v>
      </c>
      <c r="B32" s="5">
        <v>165600</v>
      </c>
      <c r="C32" s="1">
        <v>31</v>
      </c>
      <c r="D32" s="3">
        <v>15.62</v>
      </c>
      <c r="E32" s="7">
        <f t="shared" si="0"/>
        <v>13.715999999999999</v>
      </c>
      <c r="F32" s="3"/>
      <c r="G32" s="3"/>
      <c r="H32" s="3"/>
      <c r="I32" s="4"/>
    </row>
    <row r="33" spans="1:9" x14ac:dyDescent="0.2">
      <c r="A33" s="26">
        <v>45862</v>
      </c>
      <c r="B33" s="5">
        <v>222600</v>
      </c>
      <c r="C33" s="1">
        <v>32</v>
      </c>
      <c r="D33" s="3">
        <v>16.32</v>
      </c>
      <c r="E33" s="7">
        <f t="shared" si="0"/>
        <v>14.226000000000003</v>
      </c>
      <c r="F33" s="3"/>
      <c r="G33" s="3"/>
      <c r="H33" s="3"/>
      <c r="I33" s="4"/>
    </row>
    <row r="34" spans="1:9" x14ac:dyDescent="0.2">
      <c r="A34" s="26">
        <v>45863</v>
      </c>
      <c r="B34" s="5">
        <v>164400</v>
      </c>
      <c r="C34" s="1">
        <v>33</v>
      </c>
      <c r="D34" s="3">
        <v>15.66</v>
      </c>
      <c r="E34" s="7">
        <f t="shared" si="0"/>
        <v>14.853999999999999</v>
      </c>
      <c r="F34" s="3"/>
      <c r="G34" s="3"/>
      <c r="H34" s="3"/>
      <c r="I34" s="4"/>
    </row>
    <row r="35" spans="1:9" x14ac:dyDescent="0.2">
      <c r="A35" s="26">
        <v>45866</v>
      </c>
      <c r="B35" s="5">
        <v>120400</v>
      </c>
      <c r="C35" s="1">
        <v>34</v>
      </c>
      <c r="D35" s="3">
        <v>16.45</v>
      </c>
      <c r="E35" s="7">
        <f t="shared" si="0"/>
        <v>15.24</v>
      </c>
      <c r="F35" s="3"/>
      <c r="G35" s="3"/>
      <c r="H35" s="3"/>
      <c r="I35" s="4"/>
    </row>
    <row r="36" spans="1:9" x14ac:dyDescent="0.2">
      <c r="A36" s="26">
        <v>45867</v>
      </c>
      <c r="B36" s="5">
        <v>160500</v>
      </c>
      <c r="C36" s="1">
        <v>35</v>
      </c>
      <c r="D36" s="3">
        <v>16.05</v>
      </c>
      <c r="E36" s="7">
        <f t="shared" si="0"/>
        <v>15.672000000000001</v>
      </c>
      <c r="F36" s="3"/>
      <c r="G36" s="3"/>
      <c r="H36" s="3"/>
      <c r="I36" s="4"/>
    </row>
    <row r="37" spans="1:9" x14ac:dyDescent="0.2">
      <c r="A37" s="26">
        <v>45868</v>
      </c>
      <c r="B37" s="5">
        <v>114600</v>
      </c>
      <c r="C37" s="1">
        <v>36</v>
      </c>
      <c r="D37" s="3">
        <v>15.75</v>
      </c>
      <c r="E37" s="7">
        <f t="shared" si="0"/>
        <v>16.02</v>
      </c>
      <c r="F37" s="3"/>
      <c r="G37" s="3"/>
      <c r="H37" s="3"/>
      <c r="I37" s="4"/>
    </row>
    <row r="38" spans="1:9" x14ac:dyDescent="0.2">
      <c r="A38" s="26">
        <v>45869</v>
      </c>
      <c r="B38" s="5">
        <v>75700</v>
      </c>
      <c r="C38" s="1">
        <v>37</v>
      </c>
      <c r="D38" s="3">
        <v>15.71</v>
      </c>
      <c r="E38" s="7">
        <f t="shared" si="0"/>
        <v>16.045999999999999</v>
      </c>
      <c r="F38" s="3"/>
      <c r="G38" s="3"/>
      <c r="H38" s="3"/>
      <c r="I38" s="4"/>
    </row>
    <row r="39" spans="1:9" x14ac:dyDescent="0.2">
      <c r="A39" s="26">
        <v>45870</v>
      </c>
      <c r="B39" s="5">
        <v>164600</v>
      </c>
      <c r="C39" s="1">
        <v>38</v>
      </c>
      <c r="D39" s="3">
        <v>15.41</v>
      </c>
      <c r="E39" s="7">
        <f>AVERAGE(D34:D38)</f>
        <v>15.924000000000001</v>
      </c>
      <c r="F39" s="3"/>
      <c r="G39" s="3"/>
      <c r="H39" s="3"/>
      <c r="I39" s="4"/>
    </row>
    <row r="40" spans="1:9" x14ac:dyDescent="0.2">
      <c r="E40" s="7"/>
    </row>
    <row r="42" spans="1:9" x14ac:dyDescent="0.2">
      <c r="A42" s="15" t="s">
        <v>36</v>
      </c>
    </row>
    <row r="44" spans="1:9" x14ac:dyDescent="0.2">
      <c r="A44" t="s">
        <v>6</v>
      </c>
      <c r="B44"/>
      <c r="C44"/>
      <c r="D44"/>
      <c r="E44"/>
      <c r="F44"/>
      <c r="G44"/>
      <c r="H44"/>
      <c r="I44"/>
    </row>
    <row r="45" spans="1:9" ht="17" thickBot="1" x14ac:dyDescent="0.25">
      <c r="A45"/>
      <c r="B45"/>
      <c r="C45"/>
      <c r="D45"/>
      <c r="E45"/>
      <c r="F45"/>
      <c r="G45"/>
      <c r="H45"/>
      <c r="I45"/>
    </row>
    <row r="46" spans="1:9" x14ac:dyDescent="0.2">
      <c r="A46" s="14" t="s">
        <v>7</v>
      </c>
      <c r="B46" s="14"/>
      <c r="C46"/>
      <c r="D46"/>
      <c r="E46"/>
      <c r="F46"/>
      <c r="G46"/>
      <c r="H46"/>
      <c r="I46"/>
    </row>
    <row r="47" spans="1:9" x14ac:dyDescent="0.2">
      <c r="A47" t="s">
        <v>8</v>
      </c>
      <c r="B47">
        <v>0.79569750231547487</v>
      </c>
      <c r="C47"/>
      <c r="D47"/>
      <c r="E47"/>
      <c r="F47"/>
      <c r="G47"/>
      <c r="H47"/>
      <c r="I47"/>
    </row>
    <row r="48" spans="1:9" x14ac:dyDescent="0.2">
      <c r="A48" t="s">
        <v>9</v>
      </c>
      <c r="B48">
        <v>0.6331345151910851</v>
      </c>
      <c r="C48"/>
      <c r="D48"/>
      <c r="E48"/>
      <c r="F48"/>
      <c r="G48"/>
      <c r="H48"/>
      <c r="I48"/>
    </row>
    <row r="49" spans="1:9" x14ac:dyDescent="0.2">
      <c r="A49" t="s">
        <v>10</v>
      </c>
      <c r="B49">
        <v>0.62294380727972642</v>
      </c>
      <c r="C49"/>
      <c r="D49"/>
      <c r="E49"/>
      <c r="F49"/>
      <c r="G49"/>
      <c r="H49"/>
      <c r="I49"/>
    </row>
    <row r="50" spans="1:9" x14ac:dyDescent="0.2">
      <c r="A50" t="s">
        <v>11</v>
      </c>
      <c r="B50">
        <v>1.5003015309709018</v>
      </c>
      <c r="C50"/>
      <c r="D50"/>
      <c r="E50"/>
      <c r="F50"/>
      <c r="G50"/>
      <c r="H50"/>
      <c r="I50"/>
    </row>
    <row r="51" spans="1:9" ht="17" thickBot="1" x14ac:dyDescent="0.25">
      <c r="A51" s="12" t="s">
        <v>12</v>
      </c>
      <c r="B51" s="12">
        <v>38</v>
      </c>
      <c r="C51"/>
      <c r="D51"/>
      <c r="E51"/>
      <c r="F51"/>
      <c r="G51"/>
      <c r="H51"/>
      <c r="I51"/>
    </row>
    <row r="52" spans="1:9" x14ac:dyDescent="0.2">
      <c r="A52"/>
      <c r="B52"/>
      <c r="C52"/>
      <c r="D52"/>
      <c r="E52"/>
      <c r="F52"/>
      <c r="G52"/>
      <c r="H52"/>
      <c r="I52"/>
    </row>
    <row r="53" spans="1:9" ht="17" thickBot="1" x14ac:dyDescent="0.25">
      <c r="A53" t="s">
        <v>13</v>
      </c>
      <c r="B53"/>
      <c r="C53"/>
      <c r="D53"/>
      <c r="E53"/>
      <c r="F53"/>
      <c r="G53"/>
      <c r="H53"/>
      <c r="I53"/>
    </row>
    <row r="54" spans="1:9" x14ac:dyDescent="0.2">
      <c r="A54" s="13"/>
      <c r="B54" s="13" t="s">
        <v>18</v>
      </c>
      <c r="C54" s="13" t="s">
        <v>19</v>
      </c>
      <c r="D54" s="13" t="s">
        <v>20</v>
      </c>
      <c r="E54" s="13" t="s">
        <v>21</v>
      </c>
      <c r="F54" s="13" t="s">
        <v>22</v>
      </c>
      <c r="G54"/>
      <c r="H54"/>
      <c r="I54"/>
    </row>
    <row r="55" spans="1:9" x14ac:dyDescent="0.2">
      <c r="A55" t="s">
        <v>14</v>
      </c>
      <c r="B55">
        <v>1</v>
      </c>
      <c r="C55">
        <v>139.84557875041031</v>
      </c>
      <c r="D55">
        <v>139.84557875041031</v>
      </c>
      <c r="E55">
        <v>62.128609778461211</v>
      </c>
      <c r="F55">
        <v>2.3700034624114457E-9</v>
      </c>
      <c r="G55"/>
      <c r="H55"/>
      <c r="I55"/>
    </row>
    <row r="56" spans="1:9" x14ac:dyDescent="0.2">
      <c r="A56" t="s">
        <v>15</v>
      </c>
      <c r="B56">
        <v>36</v>
      </c>
      <c r="C56">
        <v>81.032568618010743</v>
      </c>
      <c r="D56">
        <v>2.2509046838336317</v>
      </c>
      <c r="E56"/>
      <c r="F56"/>
      <c r="G56"/>
      <c r="H56"/>
      <c r="I56"/>
    </row>
    <row r="57" spans="1:9" ht="17" thickBot="1" x14ac:dyDescent="0.25">
      <c r="A57" s="12" t="s">
        <v>16</v>
      </c>
      <c r="B57" s="12">
        <v>37</v>
      </c>
      <c r="C57" s="12">
        <v>220.87814736842105</v>
      </c>
      <c r="D57" s="12"/>
      <c r="E57" s="12"/>
      <c r="F57" s="12"/>
      <c r="G57"/>
      <c r="H57"/>
      <c r="I57"/>
    </row>
    <row r="58" spans="1:9" ht="17" thickBot="1" x14ac:dyDescent="0.25">
      <c r="A58"/>
      <c r="B58"/>
      <c r="C58"/>
      <c r="D58"/>
      <c r="E58"/>
      <c r="F58"/>
      <c r="G58"/>
      <c r="H58"/>
      <c r="I58"/>
    </row>
    <row r="59" spans="1:9" x14ac:dyDescent="0.2">
      <c r="A59" s="13"/>
      <c r="B59" s="13" t="s">
        <v>23</v>
      </c>
      <c r="C59" s="13" t="s">
        <v>11</v>
      </c>
      <c r="D59" s="13" t="s">
        <v>24</v>
      </c>
      <c r="E59" s="13" t="s">
        <v>25</v>
      </c>
      <c r="F59" s="13" t="s">
        <v>26</v>
      </c>
      <c r="G59" s="13" t="s">
        <v>27</v>
      </c>
      <c r="H59" s="13" t="s">
        <v>28</v>
      </c>
      <c r="I59" s="13" t="s">
        <v>29</v>
      </c>
    </row>
    <row r="60" spans="1:9" x14ac:dyDescent="0.2">
      <c r="A60" t="s">
        <v>17</v>
      </c>
      <c r="B60">
        <v>8.6539260312944553</v>
      </c>
      <c r="C60">
        <v>0.4965308679037071</v>
      </c>
      <c r="D60">
        <v>17.428777525615434</v>
      </c>
      <c r="E60">
        <v>3.944947236897056E-19</v>
      </c>
      <c r="F60">
        <v>7.6469147567973295</v>
      </c>
      <c r="G60">
        <v>9.6609373057915811</v>
      </c>
      <c r="H60">
        <v>7.6469147567973295</v>
      </c>
      <c r="I60">
        <v>9.6609373057915811</v>
      </c>
    </row>
    <row r="61" spans="1:9" ht="17" thickBot="1" x14ac:dyDescent="0.25">
      <c r="A61" s="12" t="s">
        <v>34</v>
      </c>
      <c r="B61" s="12">
        <v>0.17494036546668121</v>
      </c>
      <c r="C61" s="12">
        <v>2.2194441023600193E-2</v>
      </c>
      <c r="D61" s="12">
        <v>7.8821703723315428</v>
      </c>
      <c r="E61" s="12">
        <v>2.3700034624114705E-9</v>
      </c>
      <c r="F61" s="12">
        <v>0.12992795277160321</v>
      </c>
      <c r="G61" s="12">
        <v>0.2199527781617592</v>
      </c>
      <c r="H61" s="12">
        <v>0.12992795277160321</v>
      </c>
      <c r="I61" s="12">
        <v>0.21995277816175901</v>
      </c>
    </row>
    <row r="62" spans="1:9" x14ac:dyDescent="0.2">
      <c r="A62"/>
      <c r="B62"/>
      <c r="C62"/>
      <c r="D62"/>
      <c r="E62"/>
      <c r="F62"/>
      <c r="G62"/>
      <c r="H62"/>
      <c r="I62"/>
    </row>
    <row r="63" spans="1:9" x14ac:dyDescent="0.2">
      <c r="A63"/>
      <c r="B63"/>
      <c r="C63"/>
      <c r="D63"/>
      <c r="E63"/>
      <c r="F63"/>
      <c r="G63"/>
      <c r="H63"/>
      <c r="I63"/>
    </row>
    <row r="64" spans="1:9" x14ac:dyDescent="0.2">
      <c r="A64"/>
      <c r="B64"/>
      <c r="C64"/>
      <c r="D64"/>
      <c r="E64"/>
      <c r="F64"/>
      <c r="G64"/>
      <c r="H64"/>
      <c r="I64"/>
    </row>
    <row r="65" spans="1:9" x14ac:dyDescent="0.2">
      <c r="A65" t="s">
        <v>30</v>
      </c>
      <c r="B65"/>
      <c r="C65"/>
      <c r="D65"/>
      <c r="E65"/>
      <c r="F65"/>
      <c r="G65"/>
      <c r="H65"/>
      <c r="I65"/>
    </row>
    <row r="66" spans="1:9" ht="17" thickBot="1" x14ac:dyDescent="0.25">
      <c r="A66"/>
      <c r="B66"/>
      <c r="C66"/>
      <c r="D66"/>
      <c r="E66"/>
      <c r="F66"/>
      <c r="G66"/>
      <c r="H66"/>
      <c r="I66"/>
    </row>
    <row r="67" spans="1:9" x14ac:dyDescent="0.2">
      <c r="A67" s="13" t="s">
        <v>31</v>
      </c>
      <c r="B67" s="13" t="s">
        <v>35</v>
      </c>
      <c r="C67" s="13" t="s">
        <v>32</v>
      </c>
      <c r="D67" s="13" t="s">
        <v>33</v>
      </c>
      <c r="E67"/>
      <c r="F67"/>
      <c r="G67"/>
      <c r="H67"/>
      <c r="I67"/>
    </row>
    <row r="68" spans="1:9" x14ac:dyDescent="0.2">
      <c r="A68">
        <v>1</v>
      </c>
      <c r="B68">
        <v>8.8288663967611356</v>
      </c>
      <c r="C68">
        <v>3.0911336032388643</v>
      </c>
      <c r="D68">
        <v>2.088761411154374</v>
      </c>
      <c r="E68"/>
      <c r="F68"/>
      <c r="G68"/>
      <c r="H68"/>
      <c r="I68"/>
    </row>
    <row r="69" spans="1:9" x14ac:dyDescent="0.2">
      <c r="A69">
        <v>2</v>
      </c>
      <c r="B69">
        <v>9.0038067622278177</v>
      </c>
      <c r="C69">
        <v>2.9361932377721818</v>
      </c>
      <c r="D69">
        <v>1.9840640742039874</v>
      </c>
      <c r="E69"/>
      <c r="F69"/>
      <c r="G69"/>
      <c r="H69"/>
      <c r="I69"/>
    </row>
    <row r="70" spans="1:9" x14ac:dyDescent="0.2">
      <c r="A70">
        <v>3</v>
      </c>
      <c r="B70">
        <v>9.1787471276944981</v>
      </c>
      <c r="C70">
        <v>2.9312528723055014</v>
      </c>
      <c r="D70">
        <v>1.9807257375067353</v>
      </c>
      <c r="E70"/>
      <c r="F70"/>
      <c r="G70"/>
      <c r="H70"/>
      <c r="I70"/>
    </row>
    <row r="71" spans="1:9" x14ac:dyDescent="0.2">
      <c r="A71">
        <v>4</v>
      </c>
      <c r="B71">
        <v>9.3536874931611802</v>
      </c>
      <c r="C71">
        <v>1.9663125068388201</v>
      </c>
      <c r="D71">
        <v>1.3286897991894309</v>
      </c>
      <c r="E71"/>
      <c r="F71"/>
      <c r="G71"/>
      <c r="H71"/>
      <c r="I71"/>
    </row>
    <row r="72" spans="1:9" x14ac:dyDescent="0.2">
      <c r="A72">
        <v>5</v>
      </c>
      <c r="B72">
        <v>9.5286278586278605</v>
      </c>
      <c r="C72">
        <v>0.80137214137213952</v>
      </c>
      <c r="D72">
        <v>0.54150852720128306</v>
      </c>
      <c r="E72"/>
      <c r="F72"/>
      <c r="G72"/>
      <c r="H72"/>
      <c r="I72"/>
    </row>
    <row r="73" spans="1:9" x14ac:dyDescent="0.2">
      <c r="A73">
        <v>6</v>
      </c>
      <c r="B73">
        <v>9.7035682240945427</v>
      </c>
      <c r="C73">
        <v>0.26643177590545797</v>
      </c>
      <c r="D73">
        <v>0.18003505627629335</v>
      </c>
      <c r="E73"/>
      <c r="F73"/>
      <c r="G73"/>
      <c r="H73"/>
      <c r="I73"/>
    </row>
    <row r="74" spans="1:9" x14ac:dyDescent="0.2">
      <c r="A74">
        <v>7</v>
      </c>
      <c r="B74">
        <v>9.878508589561223</v>
      </c>
      <c r="C74">
        <v>-0.1985085895612233</v>
      </c>
      <c r="D74">
        <v>-0.13413754786390078</v>
      </c>
      <c r="E74"/>
      <c r="F74"/>
      <c r="G74"/>
      <c r="H74"/>
      <c r="I74"/>
    </row>
    <row r="75" spans="1:9" x14ac:dyDescent="0.2">
      <c r="A75">
        <v>8</v>
      </c>
      <c r="B75">
        <v>10.053448955027905</v>
      </c>
      <c r="C75">
        <v>-0.74344895502790465</v>
      </c>
      <c r="D75">
        <v>-0.50236828547243262</v>
      </c>
      <c r="E75"/>
      <c r="F75"/>
      <c r="G75"/>
      <c r="H75"/>
      <c r="I75"/>
    </row>
    <row r="76" spans="1:9" x14ac:dyDescent="0.2">
      <c r="A76">
        <v>9</v>
      </c>
      <c r="B76">
        <v>10.228389320494585</v>
      </c>
      <c r="C76">
        <v>-1.038389320494586</v>
      </c>
      <c r="D76">
        <v>-0.70166735599240926</v>
      </c>
      <c r="E76"/>
      <c r="F76"/>
      <c r="G76"/>
      <c r="H76"/>
      <c r="I76"/>
    </row>
    <row r="77" spans="1:9" x14ac:dyDescent="0.2">
      <c r="A77">
        <v>10</v>
      </c>
      <c r="B77">
        <v>10.403329685961268</v>
      </c>
      <c r="C77">
        <v>-0.93332968596126697</v>
      </c>
      <c r="D77">
        <v>-0.63067575917069763</v>
      </c>
      <c r="E77"/>
      <c r="F77"/>
      <c r="G77"/>
      <c r="H77"/>
      <c r="I77"/>
    </row>
    <row r="78" spans="1:9" x14ac:dyDescent="0.2">
      <c r="A78">
        <v>11</v>
      </c>
      <c r="B78">
        <v>10.578270051427948</v>
      </c>
      <c r="C78">
        <v>-0.55827005142794839</v>
      </c>
      <c r="D78">
        <v>-0.3772379618933468</v>
      </c>
      <c r="E78"/>
      <c r="F78"/>
      <c r="G78"/>
      <c r="H78"/>
      <c r="I78"/>
    </row>
    <row r="79" spans="1:9" x14ac:dyDescent="0.2">
      <c r="A79">
        <v>12</v>
      </c>
      <c r="B79">
        <v>10.75321041689463</v>
      </c>
      <c r="C79">
        <v>-0.56321041689463058</v>
      </c>
      <c r="D79">
        <v>-0.38057629859060021</v>
      </c>
      <c r="E79"/>
      <c r="F79"/>
      <c r="G79"/>
      <c r="H79"/>
      <c r="I79"/>
    </row>
    <row r="80" spans="1:9" x14ac:dyDescent="0.2">
      <c r="A80">
        <v>13</v>
      </c>
      <c r="B80">
        <v>10.92815078236131</v>
      </c>
      <c r="C80">
        <v>-0.77815078236131008</v>
      </c>
      <c r="D80">
        <v>-0.52581723564223803</v>
      </c>
      <c r="E80"/>
      <c r="F80"/>
      <c r="G80"/>
      <c r="H80"/>
      <c r="I80"/>
    </row>
    <row r="81" spans="1:9" x14ac:dyDescent="0.2">
      <c r="A81">
        <v>14</v>
      </c>
      <c r="B81">
        <v>11.103091147827993</v>
      </c>
      <c r="C81">
        <v>-1.5230911478279925</v>
      </c>
      <c r="D81">
        <v>-1.0291933069216146</v>
      </c>
      <c r="E81"/>
      <c r="F81"/>
      <c r="G81"/>
      <c r="H81"/>
      <c r="I81"/>
    </row>
    <row r="82" spans="1:9" x14ac:dyDescent="0.2">
      <c r="A82">
        <v>15</v>
      </c>
      <c r="B82">
        <v>11.278031513294673</v>
      </c>
      <c r="C82">
        <v>-1.5880315132946734</v>
      </c>
      <c r="D82">
        <v>-1.0730752437201203</v>
      </c>
      <c r="E82"/>
      <c r="F82"/>
      <c r="G82"/>
      <c r="H82"/>
      <c r="I82"/>
    </row>
    <row r="83" spans="1:9" x14ac:dyDescent="0.2">
      <c r="A83">
        <v>16</v>
      </c>
      <c r="B83">
        <v>11.452971878761355</v>
      </c>
      <c r="C83">
        <v>-2.3129718787613545</v>
      </c>
      <c r="D83">
        <v>-1.5629367816324116</v>
      </c>
      <c r="E83"/>
      <c r="F83"/>
      <c r="G83"/>
      <c r="H83"/>
      <c r="I83"/>
    </row>
    <row r="84" spans="1:9" x14ac:dyDescent="0.2">
      <c r="A84">
        <v>17</v>
      </c>
      <c r="B84">
        <v>11.627912244228035</v>
      </c>
      <c r="C84">
        <v>-1.4079122442280347</v>
      </c>
      <c r="D84">
        <v>-0.95136385012732327</v>
      </c>
      <c r="E84"/>
      <c r="F84"/>
      <c r="G84"/>
      <c r="H84"/>
      <c r="I84"/>
    </row>
    <row r="85" spans="1:9" x14ac:dyDescent="0.2">
      <c r="A85">
        <v>18</v>
      </c>
      <c r="B85">
        <v>11.802852609694718</v>
      </c>
      <c r="C85">
        <v>-1.7728526096947181</v>
      </c>
      <c r="D85">
        <v>-1.1979637874320967</v>
      </c>
      <c r="E85"/>
      <c r="F85"/>
      <c r="G85"/>
      <c r="H85"/>
      <c r="I85"/>
    </row>
    <row r="86" spans="1:9" x14ac:dyDescent="0.2">
      <c r="A86">
        <v>19</v>
      </c>
      <c r="B86">
        <v>11.977792975161398</v>
      </c>
      <c r="C86">
        <v>-2.1877929751613987</v>
      </c>
      <c r="D86">
        <v>-1.4783500581545794</v>
      </c>
      <c r="E86"/>
      <c r="F86"/>
      <c r="G86"/>
      <c r="H86"/>
      <c r="I86"/>
    </row>
    <row r="87" spans="1:9" x14ac:dyDescent="0.2">
      <c r="A87">
        <v>20</v>
      </c>
      <c r="B87">
        <v>12.15273334062808</v>
      </c>
      <c r="C87">
        <v>-2.1827333406280793</v>
      </c>
      <c r="D87">
        <v>-1.4749311281682895</v>
      </c>
      <c r="E87"/>
      <c r="F87"/>
      <c r="G87"/>
      <c r="H87"/>
      <c r="I87"/>
    </row>
    <row r="88" spans="1:9" x14ac:dyDescent="0.2">
      <c r="A88">
        <v>21</v>
      </c>
      <c r="B88">
        <v>12.32767370609476</v>
      </c>
      <c r="C88">
        <v>-1.8376737060947601</v>
      </c>
      <c r="D88">
        <v>-1.2417651309415649</v>
      </c>
      <c r="E88"/>
      <c r="F88"/>
      <c r="G88"/>
      <c r="H88"/>
      <c r="I88"/>
    </row>
    <row r="89" spans="1:9" x14ac:dyDescent="0.2">
      <c r="A89">
        <v>22</v>
      </c>
      <c r="B89">
        <v>12.502614071561442</v>
      </c>
      <c r="C89">
        <v>-0.43261407156144216</v>
      </c>
      <c r="D89">
        <v>-0.29232886525936758</v>
      </c>
      <c r="E89"/>
      <c r="F89"/>
      <c r="G89"/>
      <c r="H89"/>
      <c r="I89"/>
    </row>
    <row r="90" spans="1:9" x14ac:dyDescent="0.2">
      <c r="A90">
        <v>23</v>
      </c>
      <c r="B90">
        <v>12.677554437028123</v>
      </c>
      <c r="C90">
        <v>-1.4975544370281231</v>
      </c>
      <c r="D90">
        <v>-1.0119374704120936</v>
      </c>
      <c r="E90"/>
      <c r="F90"/>
      <c r="G90"/>
      <c r="H90"/>
      <c r="I90"/>
    </row>
    <row r="91" spans="1:9" x14ac:dyDescent="0.2">
      <c r="A91">
        <v>24</v>
      </c>
      <c r="B91">
        <v>12.852494802494803</v>
      </c>
      <c r="C91">
        <v>-3.2494802494802855E-2</v>
      </c>
      <c r="D91">
        <v>-2.195760462864154E-2</v>
      </c>
      <c r="E91"/>
      <c r="F91"/>
      <c r="G91"/>
      <c r="H91"/>
      <c r="I91"/>
    </row>
    <row r="92" spans="1:9" x14ac:dyDescent="0.2">
      <c r="A92">
        <v>25</v>
      </c>
      <c r="B92">
        <v>13.027435167961485</v>
      </c>
      <c r="C92">
        <v>-0.67743516796148562</v>
      </c>
      <c r="D92">
        <v>-0.45776100907259631</v>
      </c>
      <c r="E92"/>
      <c r="F92"/>
      <c r="G92"/>
      <c r="H92"/>
      <c r="I92"/>
    </row>
    <row r="93" spans="1:9" x14ac:dyDescent="0.2">
      <c r="A93">
        <v>26</v>
      </c>
      <c r="B93">
        <v>13.202375533428167</v>
      </c>
      <c r="C93">
        <v>-0.1323755334281671</v>
      </c>
      <c r="D93">
        <v>-8.944967817502808E-2</v>
      </c>
      <c r="E93"/>
      <c r="F93"/>
      <c r="G93"/>
      <c r="H93"/>
      <c r="I93"/>
    </row>
    <row r="94" spans="1:9" x14ac:dyDescent="0.2">
      <c r="A94">
        <v>27</v>
      </c>
      <c r="B94">
        <v>13.377315898894848</v>
      </c>
      <c r="C94">
        <v>-0.19731589889484802</v>
      </c>
      <c r="D94">
        <v>-0.13333161497353382</v>
      </c>
      <c r="E94"/>
      <c r="F94"/>
      <c r="G94"/>
      <c r="H94"/>
      <c r="I94"/>
    </row>
    <row r="95" spans="1:9" x14ac:dyDescent="0.2">
      <c r="A95">
        <v>28</v>
      </c>
      <c r="B95">
        <v>13.552256264361528</v>
      </c>
      <c r="C95">
        <v>0.17774373563847234</v>
      </c>
      <c r="D95">
        <v>0.12010618230381821</v>
      </c>
      <c r="E95"/>
      <c r="F95"/>
      <c r="G95"/>
      <c r="H95"/>
      <c r="I95"/>
    </row>
    <row r="96" spans="1:9" x14ac:dyDescent="0.2">
      <c r="A96">
        <v>29</v>
      </c>
      <c r="B96">
        <v>13.72719662982821</v>
      </c>
      <c r="C96">
        <v>0.56280337017178894</v>
      </c>
      <c r="D96">
        <v>0.3803012462647099</v>
      </c>
      <c r="E96"/>
      <c r="F96"/>
      <c r="G96"/>
      <c r="H96"/>
      <c r="I96"/>
    </row>
    <row r="97" spans="1:9" x14ac:dyDescent="0.2">
      <c r="A97">
        <v>30</v>
      </c>
      <c r="B97">
        <v>13.902136995294892</v>
      </c>
      <c r="C97">
        <v>0.40786300470510817</v>
      </c>
      <c r="D97">
        <v>0.27560390931432444</v>
      </c>
      <c r="E97"/>
      <c r="F97"/>
      <c r="G97"/>
      <c r="H97"/>
      <c r="I97"/>
    </row>
    <row r="98" spans="1:9" x14ac:dyDescent="0.2">
      <c r="A98">
        <v>31</v>
      </c>
      <c r="B98">
        <v>14.077077360761573</v>
      </c>
      <c r="C98">
        <v>1.5429226392384265</v>
      </c>
      <c r="D98">
        <v>1.0425939745408825</v>
      </c>
      <c r="E98"/>
      <c r="F98"/>
      <c r="G98"/>
      <c r="H98"/>
      <c r="I98"/>
    </row>
    <row r="99" spans="1:9" x14ac:dyDescent="0.2">
      <c r="A99">
        <v>32</v>
      </c>
      <c r="B99">
        <v>14.252017726228253</v>
      </c>
      <c r="C99">
        <v>2.0679822737717473</v>
      </c>
      <c r="D99">
        <v>1.3973907720713679</v>
      </c>
      <c r="E99"/>
      <c r="F99"/>
      <c r="G99"/>
      <c r="H99"/>
      <c r="I99"/>
    </row>
    <row r="100" spans="1:9" x14ac:dyDescent="0.2">
      <c r="A100">
        <v>33</v>
      </c>
      <c r="B100">
        <v>14.426958091694935</v>
      </c>
      <c r="C100">
        <v>1.233041908305065</v>
      </c>
      <c r="D100">
        <v>0.83319930064011161</v>
      </c>
      <c r="E100"/>
      <c r="F100"/>
      <c r="G100"/>
      <c r="H100"/>
      <c r="I100"/>
    </row>
    <row r="101" spans="1:9" x14ac:dyDescent="0.2">
      <c r="A101">
        <v>34</v>
      </c>
      <c r="B101">
        <v>14.601898457161617</v>
      </c>
      <c r="C101">
        <v>1.848101542838382</v>
      </c>
      <c r="D101">
        <v>1.2488114983224743</v>
      </c>
      <c r="E101"/>
      <c r="F101"/>
      <c r="G101"/>
      <c r="H101"/>
      <c r="I101"/>
    </row>
    <row r="102" spans="1:9" x14ac:dyDescent="0.2">
      <c r="A102">
        <v>35</v>
      </c>
      <c r="B102">
        <v>14.776838822628298</v>
      </c>
      <c r="C102">
        <v>1.2731611773717031</v>
      </c>
      <c r="D102">
        <v>0.86030896066331752</v>
      </c>
      <c r="E102"/>
      <c r="F102"/>
      <c r="G102"/>
      <c r="H102"/>
      <c r="I102"/>
    </row>
    <row r="103" spans="1:9" x14ac:dyDescent="0.2">
      <c r="A103">
        <v>36</v>
      </c>
      <c r="B103">
        <v>14.951779188094978</v>
      </c>
      <c r="C103">
        <v>0.79822081190502203</v>
      </c>
      <c r="D103">
        <v>0.53937908983958127</v>
      </c>
      <c r="E103"/>
      <c r="F103"/>
      <c r="G103"/>
      <c r="H103"/>
      <c r="I103"/>
    </row>
    <row r="104" spans="1:9" x14ac:dyDescent="0.2">
      <c r="A104">
        <v>37</v>
      </c>
      <c r="B104">
        <v>15.12671955356166</v>
      </c>
      <c r="C104">
        <v>0.58328044643834076</v>
      </c>
      <c r="D104">
        <v>0.39413815278794223</v>
      </c>
      <c r="E104"/>
      <c r="F104"/>
      <c r="G104"/>
      <c r="H104"/>
      <c r="I104"/>
    </row>
    <row r="105" spans="1:9" ht="17" thickBot="1" x14ac:dyDescent="0.25">
      <c r="A105" s="12">
        <v>38</v>
      </c>
      <c r="B105" s="12">
        <v>15.301659919028342</v>
      </c>
      <c r="C105" s="12">
        <v>0.10834008097165793</v>
      </c>
      <c r="D105" s="12">
        <v>7.3208281964204869E-2</v>
      </c>
      <c r="E105"/>
      <c r="F105"/>
      <c r="G105"/>
      <c r="H105"/>
      <c r="I105"/>
    </row>
    <row r="108" spans="1:9" x14ac:dyDescent="0.2">
      <c r="A108" s="15" t="s">
        <v>90</v>
      </c>
      <c r="E108" s="62"/>
    </row>
    <row r="109" spans="1:9" x14ac:dyDescent="0.2">
      <c r="A109" s="16" t="s">
        <v>53</v>
      </c>
      <c r="B109" s="16" t="s">
        <v>54</v>
      </c>
      <c r="C109" s="16" t="s">
        <v>63</v>
      </c>
      <c r="D109" s="16" t="s">
        <v>64</v>
      </c>
      <c r="E109" s="62"/>
    </row>
    <row r="110" spans="1:9" x14ac:dyDescent="0.2">
      <c r="A110" s="26">
        <v>45873</v>
      </c>
      <c r="B110" s="20">
        <v>166600</v>
      </c>
      <c r="C110" s="16">
        <v>15.62</v>
      </c>
      <c r="D110" s="16">
        <v>16.809999999999999</v>
      </c>
      <c r="E110" s="62"/>
    </row>
    <row r="111" spans="1:9" x14ac:dyDescent="0.2">
      <c r="A111" s="26">
        <v>45874</v>
      </c>
      <c r="B111" s="20">
        <v>144500</v>
      </c>
      <c r="C111" s="16">
        <v>16.77</v>
      </c>
      <c r="D111" s="16">
        <v>16.09</v>
      </c>
      <c r="E111" s="62"/>
    </row>
    <row r="112" spans="1:9" x14ac:dyDescent="0.2">
      <c r="A112" s="26">
        <v>45875</v>
      </c>
      <c r="B112" s="20">
        <v>117200</v>
      </c>
      <c r="C112" s="16">
        <v>15.98</v>
      </c>
      <c r="D112" s="16">
        <v>15.7</v>
      </c>
      <c r="E112" s="62"/>
    </row>
    <row r="113" spans="1:5" x14ac:dyDescent="0.2">
      <c r="A113" s="26">
        <v>45876</v>
      </c>
      <c r="B113" s="20">
        <v>175200</v>
      </c>
      <c r="C113" s="16">
        <v>15.61</v>
      </c>
      <c r="D113" s="16">
        <v>14.8</v>
      </c>
      <c r="E113" s="62"/>
    </row>
    <row r="114" spans="1:5" x14ac:dyDescent="0.2">
      <c r="A114" s="26">
        <v>45877</v>
      </c>
      <c r="B114" s="20">
        <v>84400</v>
      </c>
      <c r="C114" s="16">
        <v>14.81</v>
      </c>
      <c r="D114" s="16">
        <v>14.63</v>
      </c>
      <c r="E114" s="62"/>
    </row>
    <row r="115" spans="1:5" x14ac:dyDescent="0.2">
      <c r="A115" s="26">
        <v>45880</v>
      </c>
      <c r="B115" s="20">
        <v>87800</v>
      </c>
      <c r="C115" s="16">
        <v>14.76</v>
      </c>
      <c r="D115" s="16">
        <v>14.9</v>
      </c>
      <c r="E115" s="62"/>
    </row>
    <row r="116" spans="1:5" x14ac:dyDescent="0.2">
      <c r="A116" s="26">
        <v>45881</v>
      </c>
      <c r="B116" s="20">
        <v>98000</v>
      </c>
      <c r="C116" s="16">
        <v>14.51</v>
      </c>
      <c r="D116" s="16">
        <v>15.9</v>
      </c>
      <c r="E116" s="62"/>
    </row>
    <row r="117" spans="1:5" x14ac:dyDescent="0.2">
      <c r="A117" s="26">
        <v>45882</v>
      </c>
      <c r="B117" s="20">
        <v>78000</v>
      </c>
      <c r="C117" s="16">
        <v>16.2</v>
      </c>
      <c r="D117" s="16">
        <v>16.71</v>
      </c>
      <c r="E117" s="62"/>
    </row>
    <row r="118" spans="1:5" x14ac:dyDescent="0.2">
      <c r="A118" s="26">
        <v>45883</v>
      </c>
      <c r="B118" s="20">
        <v>79200</v>
      </c>
      <c r="C118" s="16">
        <v>16.62</v>
      </c>
      <c r="D118" s="16">
        <v>16.760000000000002</v>
      </c>
      <c r="E118" s="62"/>
    </row>
    <row r="119" spans="1:5" x14ac:dyDescent="0.2">
      <c r="A119" s="26">
        <v>45884</v>
      </c>
      <c r="B119" s="20">
        <v>128600</v>
      </c>
      <c r="C119" s="16">
        <v>16.88</v>
      </c>
      <c r="D119" s="16">
        <v>16.82</v>
      </c>
      <c r="E119" s="62"/>
    </row>
    <row r="120" spans="1:5" x14ac:dyDescent="0.2">
      <c r="E120" s="62"/>
    </row>
    <row r="121" spans="1:5" x14ac:dyDescent="0.2">
      <c r="E121" s="62"/>
    </row>
    <row r="122" spans="1:5" x14ac:dyDescent="0.2">
      <c r="E122" s="62"/>
    </row>
    <row r="123" spans="1:5" x14ac:dyDescent="0.2">
      <c r="E123" s="62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7C24-738D-C249-851E-EFDE330D058F}">
  <dimension ref="A1:I119"/>
  <sheetViews>
    <sheetView topLeftCell="A99" zoomScaleNormal="100" workbookViewId="0">
      <selection activeCell="G108" sqref="G108"/>
    </sheetView>
  </sheetViews>
  <sheetFormatPr baseColWidth="10" defaultRowHeight="16" x14ac:dyDescent="0.2"/>
  <cols>
    <col min="1" max="1" width="11.33203125" style="2" bestFit="1" customWidth="1"/>
    <col min="2" max="4" width="11" style="1" bestFit="1" customWidth="1"/>
    <col min="5" max="5" width="10.83203125" style="25"/>
    <col min="6" max="7" width="11" style="1" bestFit="1" customWidth="1"/>
    <col min="8" max="8" width="10.83203125" style="1"/>
    <col min="9" max="9" width="11" style="1" bestFit="1" customWidth="1"/>
    <col min="10" max="16384" width="10.83203125" style="1"/>
  </cols>
  <sheetData>
    <row r="1" spans="1:9" s="10" customFormat="1" ht="19" customHeight="1" x14ac:dyDescent="0.2">
      <c r="A1" s="9" t="s">
        <v>1</v>
      </c>
      <c r="B1" s="10" t="s">
        <v>2</v>
      </c>
      <c r="C1" s="10" t="s">
        <v>0</v>
      </c>
      <c r="D1" s="10" t="s">
        <v>3</v>
      </c>
      <c r="E1" s="21" t="s">
        <v>4</v>
      </c>
      <c r="F1" s="10" t="s">
        <v>5</v>
      </c>
    </row>
    <row r="2" spans="1:9" x14ac:dyDescent="0.2">
      <c r="A2" s="26">
        <v>45817</v>
      </c>
      <c r="B2" s="20">
        <v>1256200</v>
      </c>
      <c r="C2" s="1">
        <v>1</v>
      </c>
      <c r="D2" s="22">
        <v>70.28</v>
      </c>
      <c r="E2" s="24"/>
      <c r="F2" s="1" cm="1">
        <f t="array" ref="F2">SUMPRODUCT(--(D7:D39&gt;E7:E39))/33</f>
        <v>0.60606060606060608</v>
      </c>
      <c r="G2" s="3"/>
      <c r="H2" s="3"/>
      <c r="I2" s="4"/>
    </row>
    <row r="3" spans="1:9" x14ac:dyDescent="0.2">
      <c r="A3" s="26">
        <v>45818</v>
      </c>
      <c r="B3" s="20">
        <v>1408100</v>
      </c>
      <c r="C3" s="1">
        <v>2</v>
      </c>
      <c r="D3" s="22">
        <v>71.510000000000005</v>
      </c>
      <c r="E3" s="24"/>
      <c r="F3" s="3"/>
      <c r="G3" s="3"/>
      <c r="H3" s="3"/>
      <c r="I3" s="4"/>
    </row>
    <row r="4" spans="1:9" x14ac:dyDescent="0.2">
      <c r="A4" s="26">
        <v>45819</v>
      </c>
      <c r="B4" s="20">
        <v>1838200</v>
      </c>
      <c r="C4" s="1">
        <v>3</v>
      </c>
      <c r="D4" s="22">
        <v>71.12</v>
      </c>
      <c r="E4" s="24"/>
      <c r="F4" s="3"/>
      <c r="G4" s="3"/>
      <c r="H4" s="3"/>
      <c r="I4" s="4"/>
    </row>
    <row r="5" spans="1:9" x14ac:dyDescent="0.2">
      <c r="A5" s="26">
        <v>45820</v>
      </c>
      <c r="B5" s="20">
        <v>1499000</v>
      </c>
      <c r="C5" s="1">
        <v>4</v>
      </c>
      <c r="D5" s="22">
        <v>71.77</v>
      </c>
      <c r="E5" s="24"/>
      <c r="F5" s="3"/>
      <c r="G5" s="3"/>
      <c r="H5" s="3"/>
      <c r="I5" s="4"/>
    </row>
    <row r="6" spans="1:9" x14ac:dyDescent="0.2">
      <c r="A6" s="26">
        <v>45821</v>
      </c>
      <c r="B6" s="20">
        <v>1707800</v>
      </c>
      <c r="C6" s="1">
        <v>5</v>
      </c>
      <c r="D6" s="22">
        <v>70.37</v>
      </c>
      <c r="E6" s="24"/>
      <c r="F6" s="3"/>
      <c r="G6" s="3"/>
      <c r="H6" s="3"/>
      <c r="I6" s="4"/>
    </row>
    <row r="7" spans="1:9" x14ac:dyDescent="0.2">
      <c r="A7" s="26">
        <v>45824</v>
      </c>
      <c r="B7" s="20">
        <v>1090200</v>
      </c>
      <c r="C7" s="1">
        <v>6</v>
      </c>
      <c r="D7" s="22">
        <v>70.94</v>
      </c>
      <c r="E7" s="23">
        <f t="shared" ref="E7:E39" si="0">AVERAGE(D2:D6)</f>
        <v>71.010000000000005</v>
      </c>
      <c r="H7" s="3"/>
      <c r="I7" s="4"/>
    </row>
    <row r="8" spans="1:9" x14ac:dyDescent="0.2">
      <c r="A8" s="26">
        <v>45825</v>
      </c>
      <c r="B8" s="20">
        <v>2628100</v>
      </c>
      <c r="C8" s="1">
        <v>7</v>
      </c>
      <c r="D8" s="22">
        <v>67.63</v>
      </c>
      <c r="E8" s="23">
        <f t="shared" si="0"/>
        <v>71.141999999999996</v>
      </c>
      <c r="F8" s="3"/>
      <c r="G8" s="3"/>
      <c r="H8" s="3"/>
      <c r="I8" s="4"/>
    </row>
    <row r="9" spans="1:9" x14ac:dyDescent="0.2">
      <c r="A9" s="26">
        <v>45826</v>
      </c>
      <c r="B9" s="20">
        <v>1441200</v>
      </c>
      <c r="C9" s="1">
        <v>8</v>
      </c>
      <c r="D9" s="22">
        <v>67.53</v>
      </c>
      <c r="E9" s="23">
        <f t="shared" si="0"/>
        <v>70.366</v>
      </c>
      <c r="F9" s="3"/>
      <c r="G9" s="3"/>
      <c r="H9" s="3"/>
      <c r="I9" s="4"/>
    </row>
    <row r="10" spans="1:9" x14ac:dyDescent="0.2">
      <c r="A10" s="26">
        <v>45828</v>
      </c>
      <c r="B10" s="20">
        <v>1733700</v>
      </c>
      <c r="C10" s="1">
        <v>9</v>
      </c>
      <c r="D10" s="22">
        <v>68.239999999999995</v>
      </c>
      <c r="E10" s="23">
        <f t="shared" si="0"/>
        <v>69.647999999999996</v>
      </c>
      <c r="F10" s="3"/>
      <c r="G10" s="3"/>
      <c r="H10" s="3"/>
      <c r="I10" s="4"/>
    </row>
    <row r="11" spans="1:9" x14ac:dyDescent="0.2">
      <c r="A11" s="26">
        <v>45831</v>
      </c>
      <c r="B11" s="20">
        <v>1713500</v>
      </c>
      <c r="C11" s="1">
        <v>10</v>
      </c>
      <c r="D11" s="22">
        <v>69.06</v>
      </c>
      <c r="E11" s="23">
        <f t="shared" si="0"/>
        <v>68.942000000000007</v>
      </c>
      <c r="F11" s="3"/>
      <c r="G11" s="3"/>
      <c r="H11" s="3"/>
      <c r="I11" s="4"/>
    </row>
    <row r="12" spans="1:9" x14ac:dyDescent="0.2">
      <c r="A12" s="26">
        <v>45832</v>
      </c>
      <c r="B12" s="20">
        <v>1718800</v>
      </c>
      <c r="C12" s="1">
        <v>11</v>
      </c>
      <c r="D12" s="22">
        <v>70.22</v>
      </c>
      <c r="E12" s="23">
        <f t="shared" si="0"/>
        <v>68.679999999999993</v>
      </c>
      <c r="F12" s="3"/>
      <c r="G12" s="3"/>
      <c r="H12" s="3"/>
      <c r="I12" s="4"/>
    </row>
    <row r="13" spans="1:9" x14ac:dyDescent="0.2">
      <c r="A13" s="26">
        <v>45833</v>
      </c>
      <c r="B13" s="20">
        <v>1281400</v>
      </c>
      <c r="C13" s="1">
        <v>12</v>
      </c>
      <c r="D13" s="22">
        <v>68.45</v>
      </c>
      <c r="E13" s="23">
        <f t="shared" si="0"/>
        <v>68.535999999999987</v>
      </c>
      <c r="F13" s="3"/>
      <c r="G13" s="3"/>
      <c r="H13" s="3"/>
      <c r="I13" s="4"/>
    </row>
    <row r="14" spans="1:9" x14ac:dyDescent="0.2">
      <c r="A14" s="26">
        <v>45834</v>
      </c>
      <c r="B14" s="20">
        <v>1340600</v>
      </c>
      <c r="C14" s="1">
        <v>13</v>
      </c>
      <c r="D14" s="22">
        <v>69.22</v>
      </c>
      <c r="E14" s="23">
        <f t="shared" si="0"/>
        <v>68.699999999999989</v>
      </c>
      <c r="F14" s="3"/>
      <c r="G14" s="3"/>
      <c r="H14" s="3"/>
      <c r="I14" s="4"/>
    </row>
    <row r="15" spans="1:9" x14ac:dyDescent="0.2">
      <c r="A15" s="26">
        <v>45835</v>
      </c>
      <c r="B15" s="20">
        <v>1355800</v>
      </c>
      <c r="C15" s="1">
        <v>14</v>
      </c>
      <c r="D15" s="22">
        <v>69.739999999999995</v>
      </c>
      <c r="E15" s="23">
        <f t="shared" si="0"/>
        <v>69.038000000000011</v>
      </c>
      <c r="F15" s="3"/>
      <c r="G15" s="3"/>
      <c r="H15" s="3"/>
      <c r="I15" s="4"/>
    </row>
    <row r="16" spans="1:9" x14ac:dyDescent="0.2">
      <c r="A16" s="26">
        <v>45838</v>
      </c>
      <c r="B16" s="20">
        <v>1894500</v>
      </c>
      <c r="C16" s="1">
        <v>15</v>
      </c>
      <c r="D16" s="22">
        <v>70.05</v>
      </c>
      <c r="E16" s="23">
        <f t="shared" si="0"/>
        <v>69.338000000000008</v>
      </c>
      <c r="F16" s="3"/>
      <c r="G16" s="3"/>
      <c r="H16" s="3"/>
      <c r="I16" s="4"/>
    </row>
    <row r="17" spans="1:9" x14ac:dyDescent="0.2">
      <c r="A17" s="26">
        <v>45839</v>
      </c>
      <c r="B17" s="20">
        <v>3513100</v>
      </c>
      <c r="C17" s="1">
        <v>16</v>
      </c>
      <c r="D17" s="22">
        <v>71.5</v>
      </c>
      <c r="E17" s="23">
        <f t="shared" si="0"/>
        <v>69.536000000000001</v>
      </c>
      <c r="F17" s="3"/>
      <c r="G17" s="3"/>
      <c r="H17" s="3"/>
      <c r="I17" s="4"/>
    </row>
    <row r="18" spans="1:9" x14ac:dyDescent="0.2">
      <c r="A18" s="26">
        <v>45840</v>
      </c>
      <c r="B18" s="20">
        <v>2039900</v>
      </c>
      <c r="C18" s="1">
        <v>17</v>
      </c>
      <c r="D18" s="22">
        <v>71</v>
      </c>
      <c r="E18" s="23">
        <f t="shared" si="0"/>
        <v>69.792000000000002</v>
      </c>
      <c r="F18" s="3"/>
      <c r="G18" s="3"/>
      <c r="H18" s="3"/>
      <c r="I18" s="4"/>
    </row>
    <row r="19" spans="1:9" x14ac:dyDescent="0.2">
      <c r="A19" s="26">
        <v>45841</v>
      </c>
      <c r="B19" s="20">
        <v>1278400</v>
      </c>
      <c r="C19" s="1">
        <v>18</v>
      </c>
      <c r="D19" s="22">
        <v>72.53</v>
      </c>
      <c r="E19" s="23">
        <f t="shared" si="0"/>
        <v>70.301999999999992</v>
      </c>
      <c r="F19" s="3"/>
      <c r="G19" s="3"/>
      <c r="H19" s="3"/>
      <c r="I19" s="4"/>
    </row>
    <row r="20" spans="1:9" x14ac:dyDescent="0.2">
      <c r="A20" s="26">
        <v>45845</v>
      </c>
      <c r="B20" s="20">
        <v>2138400</v>
      </c>
      <c r="C20" s="1">
        <v>19</v>
      </c>
      <c r="D20" s="22">
        <v>72.39</v>
      </c>
      <c r="E20" s="23">
        <f t="shared" si="0"/>
        <v>70.963999999999984</v>
      </c>
      <c r="F20" s="3"/>
      <c r="G20" s="3"/>
      <c r="H20" s="3"/>
      <c r="I20" s="4"/>
    </row>
    <row r="21" spans="1:9" x14ac:dyDescent="0.2">
      <c r="A21" s="26">
        <v>45846</v>
      </c>
      <c r="B21" s="20">
        <v>2402800</v>
      </c>
      <c r="C21" s="1">
        <v>20</v>
      </c>
      <c r="D21" s="22">
        <v>72.62</v>
      </c>
      <c r="E21" s="23">
        <f t="shared" si="0"/>
        <v>71.494</v>
      </c>
      <c r="F21" s="3"/>
      <c r="G21" s="3"/>
      <c r="H21" s="3"/>
      <c r="I21" s="4"/>
    </row>
    <row r="22" spans="1:9" x14ac:dyDescent="0.2">
      <c r="A22" s="26">
        <v>45847</v>
      </c>
      <c r="B22" s="20">
        <v>3845900</v>
      </c>
      <c r="C22" s="1">
        <v>21</v>
      </c>
      <c r="D22" s="22">
        <v>75.510000000000005</v>
      </c>
      <c r="E22" s="23">
        <f t="shared" si="0"/>
        <v>72.00800000000001</v>
      </c>
      <c r="F22" s="3"/>
      <c r="G22" s="3"/>
      <c r="H22" s="3"/>
      <c r="I22" s="4"/>
    </row>
    <row r="23" spans="1:9" x14ac:dyDescent="0.2">
      <c r="A23" s="26">
        <v>45848</v>
      </c>
      <c r="B23" s="20">
        <v>4126800</v>
      </c>
      <c r="C23" s="1">
        <v>22</v>
      </c>
      <c r="D23" s="22">
        <v>78.91</v>
      </c>
      <c r="E23" s="23">
        <f t="shared" si="0"/>
        <v>72.81</v>
      </c>
      <c r="F23" s="3"/>
      <c r="G23" s="3"/>
      <c r="H23" s="3"/>
      <c r="I23" s="4"/>
    </row>
    <row r="24" spans="1:9" x14ac:dyDescent="0.2">
      <c r="A24" s="26">
        <v>45849</v>
      </c>
      <c r="B24" s="20">
        <v>2551400</v>
      </c>
      <c r="C24" s="1">
        <v>23</v>
      </c>
      <c r="D24" s="22">
        <v>78.010000000000005</v>
      </c>
      <c r="E24" s="23">
        <f t="shared" si="0"/>
        <v>74.39200000000001</v>
      </c>
      <c r="F24" s="3"/>
      <c r="G24" s="3"/>
      <c r="H24" s="3"/>
      <c r="I24" s="4"/>
    </row>
    <row r="25" spans="1:9" x14ac:dyDescent="0.2">
      <c r="A25" s="26">
        <v>45852</v>
      </c>
      <c r="B25" s="20">
        <v>2755600</v>
      </c>
      <c r="C25" s="1">
        <v>24</v>
      </c>
      <c r="D25" s="22">
        <v>78.87</v>
      </c>
      <c r="E25" s="23">
        <f t="shared" si="0"/>
        <v>75.487999999999985</v>
      </c>
      <c r="F25" s="3"/>
      <c r="G25" s="3"/>
      <c r="H25" s="3"/>
      <c r="I25" s="4"/>
    </row>
    <row r="26" spans="1:9" x14ac:dyDescent="0.2">
      <c r="A26" s="26">
        <v>45853</v>
      </c>
      <c r="B26" s="20">
        <v>2635800</v>
      </c>
      <c r="C26" s="1">
        <v>25</v>
      </c>
      <c r="D26" s="22">
        <v>76.62</v>
      </c>
      <c r="E26" s="23">
        <f t="shared" si="0"/>
        <v>76.784000000000006</v>
      </c>
      <c r="F26" s="3"/>
      <c r="G26" s="3"/>
      <c r="H26" s="3"/>
      <c r="I26" s="4"/>
    </row>
    <row r="27" spans="1:9" x14ac:dyDescent="0.2">
      <c r="A27" s="26">
        <v>45854</v>
      </c>
      <c r="B27" s="20">
        <v>2128400</v>
      </c>
      <c r="C27" s="1">
        <v>26</v>
      </c>
      <c r="D27" s="22">
        <v>76.95</v>
      </c>
      <c r="E27" s="23">
        <f t="shared" si="0"/>
        <v>77.584000000000003</v>
      </c>
      <c r="F27" s="3"/>
      <c r="G27" s="3"/>
      <c r="H27" s="3"/>
      <c r="I27" s="4"/>
    </row>
    <row r="28" spans="1:9" x14ac:dyDescent="0.2">
      <c r="A28" s="26">
        <v>45855</v>
      </c>
      <c r="B28" s="20">
        <v>2015100</v>
      </c>
      <c r="C28" s="1">
        <v>27</v>
      </c>
      <c r="D28" s="22">
        <v>77.599999999999994</v>
      </c>
      <c r="E28" s="23">
        <f t="shared" si="0"/>
        <v>77.872</v>
      </c>
      <c r="F28" s="3"/>
      <c r="G28" s="3"/>
      <c r="H28" s="3"/>
      <c r="I28" s="4"/>
    </row>
    <row r="29" spans="1:9" x14ac:dyDescent="0.2">
      <c r="A29" s="26">
        <v>45856</v>
      </c>
      <c r="B29" s="20">
        <v>2342700</v>
      </c>
      <c r="C29" s="1">
        <v>28</v>
      </c>
      <c r="D29" s="22">
        <v>77.459999999999994</v>
      </c>
      <c r="E29" s="23">
        <f t="shared" si="0"/>
        <v>77.609999999999985</v>
      </c>
      <c r="F29" s="3"/>
      <c r="G29" s="3"/>
      <c r="H29" s="3"/>
      <c r="I29" s="4"/>
    </row>
    <row r="30" spans="1:9" x14ac:dyDescent="0.2">
      <c r="A30" s="26">
        <v>45859</v>
      </c>
      <c r="B30" s="20">
        <v>2753700</v>
      </c>
      <c r="C30" s="1">
        <v>29</v>
      </c>
      <c r="D30" s="22">
        <v>77.760000000000005</v>
      </c>
      <c r="E30" s="23">
        <f t="shared" si="0"/>
        <v>77.499999999999986</v>
      </c>
      <c r="F30" s="3"/>
      <c r="G30" s="3"/>
      <c r="H30" s="3"/>
      <c r="I30" s="4"/>
    </row>
    <row r="31" spans="1:9" x14ac:dyDescent="0.2">
      <c r="A31" s="26">
        <v>45860</v>
      </c>
      <c r="B31" s="20">
        <v>2463700</v>
      </c>
      <c r="C31" s="1">
        <v>30</v>
      </c>
      <c r="D31" s="22">
        <v>80.180000000000007</v>
      </c>
      <c r="E31" s="23">
        <f t="shared" si="0"/>
        <v>77.277999999999992</v>
      </c>
      <c r="F31" s="3"/>
      <c r="G31" s="3"/>
      <c r="H31" s="3"/>
      <c r="I31" s="4"/>
    </row>
    <row r="32" spans="1:9" x14ac:dyDescent="0.2">
      <c r="A32" s="26">
        <v>45861</v>
      </c>
      <c r="B32" s="20">
        <v>1986700</v>
      </c>
      <c r="C32" s="1">
        <v>31</v>
      </c>
      <c r="D32" s="22">
        <v>80.56</v>
      </c>
      <c r="E32" s="23">
        <f t="shared" si="0"/>
        <v>77.989999999999995</v>
      </c>
      <c r="F32" s="3"/>
      <c r="G32" s="3"/>
      <c r="H32" s="3"/>
      <c r="I32" s="4"/>
    </row>
    <row r="33" spans="1:9" x14ac:dyDescent="0.2">
      <c r="A33" s="26">
        <v>45862</v>
      </c>
      <c r="B33" s="20">
        <v>2372900</v>
      </c>
      <c r="C33" s="1">
        <v>32</v>
      </c>
      <c r="D33" s="22">
        <v>80.400000000000006</v>
      </c>
      <c r="E33" s="23">
        <f t="shared" si="0"/>
        <v>78.712000000000003</v>
      </c>
      <c r="F33" s="3"/>
      <c r="G33" s="3"/>
      <c r="H33" s="3"/>
      <c r="I33" s="4"/>
    </row>
    <row r="34" spans="1:9" x14ac:dyDescent="0.2">
      <c r="A34" s="26">
        <v>45863</v>
      </c>
      <c r="B34" s="20">
        <v>1929200</v>
      </c>
      <c r="C34" s="1">
        <v>33</v>
      </c>
      <c r="D34" s="22">
        <v>81.16</v>
      </c>
      <c r="E34" s="23">
        <f t="shared" si="0"/>
        <v>79.272000000000006</v>
      </c>
      <c r="F34" s="3"/>
      <c r="G34" s="3"/>
      <c r="H34" s="3"/>
      <c r="I34" s="4"/>
    </row>
    <row r="35" spans="1:9" x14ac:dyDescent="0.2">
      <c r="A35" s="26">
        <v>45866</v>
      </c>
      <c r="B35" s="20">
        <v>1642000</v>
      </c>
      <c r="C35" s="1">
        <v>34</v>
      </c>
      <c r="D35" s="22">
        <v>81.819999999999993</v>
      </c>
      <c r="E35" s="23">
        <f t="shared" si="0"/>
        <v>80.011999999999986</v>
      </c>
      <c r="F35" s="3"/>
      <c r="G35" s="3"/>
      <c r="H35" s="3"/>
      <c r="I35" s="4"/>
    </row>
    <row r="36" spans="1:9" x14ac:dyDescent="0.2">
      <c r="A36" s="26">
        <v>45867</v>
      </c>
      <c r="B36" s="20">
        <v>2355300</v>
      </c>
      <c r="C36" s="1">
        <v>35</v>
      </c>
      <c r="D36" s="22">
        <v>79.84</v>
      </c>
      <c r="E36" s="23">
        <f t="shared" si="0"/>
        <v>80.823999999999998</v>
      </c>
      <c r="F36" s="3"/>
      <c r="G36" s="3"/>
      <c r="H36" s="3"/>
      <c r="I36" s="4"/>
    </row>
    <row r="37" spans="1:9" x14ac:dyDescent="0.2">
      <c r="A37" s="26">
        <v>45868</v>
      </c>
      <c r="B37" s="20">
        <v>1277200</v>
      </c>
      <c r="C37" s="1">
        <v>36</v>
      </c>
      <c r="D37" s="22">
        <v>79.03</v>
      </c>
      <c r="E37" s="23">
        <f t="shared" si="0"/>
        <v>80.756</v>
      </c>
      <c r="F37" s="3"/>
      <c r="G37" s="3"/>
      <c r="H37" s="3"/>
      <c r="I37" s="4"/>
    </row>
    <row r="38" spans="1:9" x14ac:dyDescent="0.2">
      <c r="A38" s="26">
        <v>45869</v>
      </c>
      <c r="B38" s="20">
        <v>1630400</v>
      </c>
      <c r="C38" s="1">
        <v>37</v>
      </c>
      <c r="D38" s="22">
        <v>79.55</v>
      </c>
      <c r="E38" s="23">
        <f t="shared" si="0"/>
        <v>80.45</v>
      </c>
      <c r="F38" s="3"/>
      <c r="G38" s="3"/>
      <c r="H38" s="3"/>
      <c r="I38" s="4"/>
    </row>
    <row r="39" spans="1:9" x14ac:dyDescent="0.2">
      <c r="A39" s="26">
        <v>45870</v>
      </c>
      <c r="B39" s="20">
        <v>2186900</v>
      </c>
      <c r="C39" s="1">
        <v>38</v>
      </c>
      <c r="D39" s="22">
        <v>80.2</v>
      </c>
      <c r="E39" s="23">
        <f t="shared" si="0"/>
        <v>80.28</v>
      </c>
      <c r="F39" s="3"/>
      <c r="G39" s="3"/>
      <c r="H39" s="3"/>
      <c r="I39" s="4"/>
    </row>
    <row r="40" spans="1:9" x14ac:dyDescent="0.2">
      <c r="E40" s="23"/>
    </row>
    <row r="42" spans="1:9" x14ac:dyDescent="0.2">
      <c r="A42" s="15" t="s">
        <v>48</v>
      </c>
    </row>
    <row r="44" spans="1:9" x14ac:dyDescent="0.2">
      <c r="A44" t="s">
        <v>6</v>
      </c>
      <c r="B44"/>
      <c r="C44"/>
      <c r="D44"/>
      <c r="E44"/>
      <c r="F44"/>
      <c r="G44"/>
      <c r="H44"/>
      <c r="I44"/>
    </row>
    <row r="45" spans="1:9" ht="17" thickBot="1" x14ac:dyDescent="0.25">
      <c r="A45"/>
      <c r="B45"/>
      <c r="C45"/>
      <c r="D45"/>
      <c r="E45"/>
      <c r="F45"/>
      <c r="G45"/>
      <c r="H45"/>
      <c r="I45"/>
    </row>
    <row r="46" spans="1:9" x14ac:dyDescent="0.2">
      <c r="A46" s="14" t="s">
        <v>7</v>
      </c>
      <c r="B46" s="14"/>
      <c r="C46"/>
      <c r="D46"/>
      <c r="E46"/>
      <c r="F46"/>
      <c r="G46"/>
      <c r="H46"/>
      <c r="I46"/>
    </row>
    <row r="47" spans="1:9" x14ac:dyDescent="0.2">
      <c r="A47" t="s">
        <v>8</v>
      </c>
      <c r="B47">
        <v>0.89363958075131666</v>
      </c>
      <c r="C47"/>
      <c r="D47"/>
      <c r="E47"/>
      <c r="F47"/>
      <c r="G47"/>
      <c r="H47"/>
      <c r="I47"/>
    </row>
    <row r="48" spans="1:9" x14ac:dyDescent="0.2">
      <c r="A48" t="s">
        <v>9</v>
      </c>
      <c r="B48">
        <v>0.79859170028538895</v>
      </c>
      <c r="C48"/>
      <c r="D48"/>
      <c r="E48"/>
      <c r="F48"/>
      <c r="G48"/>
      <c r="H48"/>
      <c r="I48"/>
    </row>
    <row r="49" spans="1:9" x14ac:dyDescent="0.2">
      <c r="A49" t="s">
        <v>10</v>
      </c>
      <c r="B49">
        <v>0.79299702529331639</v>
      </c>
      <c r="C49"/>
      <c r="D49"/>
      <c r="E49"/>
      <c r="F49"/>
      <c r="G49"/>
      <c r="H49"/>
      <c r="I49"/>
    </row>
    <row r="50" spans="1:9" x14ac:dyDescent="0.2">
      <c r="A50" t="s">
        <v>11</v>
      </c>
      <c r="B50">
        <v>2.1128515849818337</v>
      </c>
      <c r="C50"/>
      <c r="D50"/>
      <c r="E50"/>
      <c r="F50"/>
      <c r="G50"/>
      <c r="H50"/>
      <c r="I50"/>
    </row>
    <row r="51" spans="1:9" ht="17" thickBot="1" x14ac:dyDescent="0.25">
      <c r="A51" s="12" t="s">
        <v>12</v>
      </c>
      <c r="B51" s="12">
        <v>38</v>
      </c>
      <c r="C51"/>
      <c r="D51"/>
      <c r="E51"/>
      <c r="F51"/>
      <c r="G51"/>
      <c r="H51"/>
      <c r="I51"/>
    </row>
    <row r="52" spans="1:9" x14ac:dyDescent="0.2">
      <c r="A52"/>
      <c r="B52"/>
      <c r="C52"/>
      <c r="D52"/>
      <c r="E52"/>
      <c r="F52"/>
      <c r="G52"/>
      <c r="H52"/>
      <c r="I52"/>
    </row>
    <row r="53" spans="1:9" ht="17" thickBot="1" x14ac:dyDescent="0.25">
      <c r="A53" t="s">
        <v>13</v>
      </c>
      <c r="B53"/>
      <c r="C53"/>
      <c r="D53"/>
      <c r="E53"/>
      <c r="F53"/>
      <c r="G53"/>
      <c r="H53"/>
      <c r="I53"/>
    </row>
    <row r="54" spans="1:9" x14ac:dyDescent="0.2">
      <c r="A54" s="13"/>
      <c r="B54" s="13" t="s">
        <v>18</v>
      </c>
      <c r="C54" s="13" t="s">
        <v>19</v>
      </c>
      <c r="D54" s="13" t="s">
        <v>20</v>
      </c>
      <c r="E54" s="13" t="s">
        <v>21</v>
      </c>
      <c r="F54" s="13" t="s">
        <v>22</v>
      </c>
      <c r="G54"/>
      <c r="H54"/>
      <c r="I54"/>
    </row>
    <row r="55" spans="1:9" x14ac:dyDescent="0.2">
      <c r="A55" t="s">
        <v>14</v>
      </c>
      <c r="B55">
        <v>1</v>
      </c>
      <c r="C55">
        <v>637.21782079002082</v>
      </c>
      <c r="D55">
        <v>637.21782079002082</v>
      </c>
      <c r="E55">
        <v>142.74139273808893</v>
      </c>
      <c r="F55">
        <v>4.3668140789590405E-14</v>
      </c>
      <c r="G55"/>
      <c r="H55"/>
      <c r="I55"/>
    </row>
    <row r="56" spans="1:9" x14ac:dyDescent="0.2">
      <c r="A56" t="s">
        <v>15</v>
      </c>
      <c r="B56">
        <v>36</v>
      </c>
      <c r="C56">
        <v>160.70910552576885</v>
      </c>
      <c r="D56">
        <v>4.4641418201602461</v>
      </c>
      <c r="E56"/>
      <c r="F56"/>
      <c r="G56"/>
      <c r="H56"/>
      <c r="I56"/>
    </row>
    <row r="57" spans="1:9" ht="17" thickBot="1" x14ac:dyDescent="0.25">
      <c r="A57" s="12" t="s">
        <v>16</v>
      </c>
      <c r="B57" s="12">
        <v>37</v>
      </c>
      <c r="C57" s="12">
        <v>797.92692631578961</v>
      </c>
      <c r="D57" s="12"/>
      <c r="E57" s="12"/>
      <c r="F57" s="12"/>
      <c r="G57"/>
      <c r="H57"/>
      <c r="I57"/>
    </row>
    <row r="58" spans="1:9" ht="17" thickBot="1" x14ac:dyDescent="0.25">
      <c r="A58"/>
      <c r="B58"/>
      <c r="C58"/>
      <c r="D58"/>
      <c r="E58"/>
      <c r="F58"/>
      <c r="G58"/>
      <c r="H58"/>
      <c r="I58"/>
    </row>
    <row r="59" spans="1:9" x14ac:dyDescent="0.2">
      <c r="A59" s="13"/>
      <c r="B59" s="13" t="s">
        <v>23</v>
      </c>
      <c r="C59" s="13" t="s">
        <v>11</v>
      </c>
      <c r="D59" s="13" t="s">
        <v>24</v>
      </c>
      <c r="E59" s="13" t="s">
        <v>25</v>
      </c>
      <c r="F59" s="13" t="s">
        <v>26</v>
      </c>
      <c r="G59" s="13" t="s">
        <v>27</v>
      </c>
      <c r="H59" s="13" t="s">
        <v>28</v>
      </c>
      <c r="I59" s="13" t="s">
        <v>29</v>
      </c>
    </row>
    <row r="60" spans="1:9" x14ac:dyDescent="0.2">
      <c r="A60" t="s">
        <v>17</v>
      </c>
      <c r="B60">
        <v>67.102318634423909</v>
      </c>
      <c r="C60">
        <v>0.69925678910948197</v>
      </c>
      <c r="D60">
        <v>95.962341273625825</v>
      </c>
      <c r="E60">
        <v>5.6090596735056937E-45</v>
      </c>
      <c r="F60">
        <v>65.68416013528612</v>
      </c>
      <c r="G60">
        <v>68.520477133561698</v>
      </c>
      <c r="H60">
        <v>65.68416013528612</v>
      </c>
      <c r="I60">
        <v>68.520477133561698</v>
      </c>
    </row>
    <row r="61" spans="1:9" ht="17" thickBot="1" x14ac:dyDescent="0.25">
      <c r="A61" s="12" t="s">
        <v>34</v>
      </c>
      <c r="B61" s="12">
        <v>0.3734303534303533</v>
      </c>
      <c r="C61" s="12">
        <v>3.1256090143527947E-2</v>
      </c>
      <c r="D61" s="12">
        <v>11.947442937218359</v>
      </c>
      <c r="E61" s="12">
        <v>4.3668140789590714E-14</v>
      </c>
      <c r="F61" s="12">
        <v>0.31004006451616006</v>
      </c>
      <c r="G61" s="12">
        <v>0.43682064234454654</v>
      </c>
      <c r="H61" s="12">
        <v>0.31004006451616006</v>
      </c>
      <c r="I61" s="12">
        <v>0.43682064234454654</v>
      </c>
    </row>
    <row r="62" spans="1:9" x14ac:dyDescent="0.2">
      <c r="A62"/>
      <c r="B62"/>
      <c r="C62"/>
      <c r="D62"/>
      <c r="E62"/>
      <c r="F62"/>
      <c r="G62"/>
      <c r="H62"/>
      <c r="I62"/>
    </row>
    <row r="63" spans="1:9" x14ac:dyDescent="0.2">
      <c r="A63"/>
      <c r="B63"/>
      <c r="C63"/>
      <c r="D63"/>
      <c r="E63"/>
      <c r="F63"/>
      <c r="G63"/>
      <c r="H63"/>
      <c r="I63"/>
    </row>
    <row r="64" spans="1:9" x14ac:dyDescent="0.2">
      <c r="A64"/>
      <c r="B64"/>
      <c r="C64"/>
      <c r="D64"/>
      <c r="E64"/>
      <c r="F64"/>
      <c r="G64"/>
      <c r="H64"/>
      <c r="I64"/>
    </row>
    <row r="65" spans="1:9" x14ac:dyDescent="0.2">
      <c r="A65" t="s">
        <v>30</v>
      </c>
      <c r="B65"/>
      <c r="C65"/>
      <c r="D65"/>
      <c r="E65"/>
      <c r="F65"/>
      <c r="G65"/>
      <c r="H65"/>
      <c r="I65"/>
    </row>
    <row r="66" spans="1:9" ht="17" thickBot="1" x14ac:dyDescent="0.25">
      <c r="A66"/>
      <c r="B66"/>
      <c r="C66"/>
      <c r="D66"/>
      <c r="E66"/>
      <c r="F66"/>
      <c r="G66"/>
      <c r="H66"/>
      <c r="I66"/>
    </row>
    <row r="67" spans="1:9" x14ac:dyDescent="0.2">
      <c r="A67" s="13" t="s">
        <v>31</v>
      </c>
      <c r="B67" s="13" t="s">
        <v>35</v>
      </c>
      <c r="C67" s="13" t="s">
        <v>32</v>
      </c>
      <c r="D67" s="13" t="s">
        <v>33</v>
      </c>
      <c r="E67"/>
      <c r="F67"/>
      <c r="G67"/>
      <c r="H67"/>
      <c r="I67"/>
    </row>
    <row r="68" spans="1:9" x14ac:dyDescent="0.2">
      <c r="A68">
        <v>1</v>
      </c>
      <c r="B68">
        <v>67.47574898785426</v>
      </c>
      <c r="C68">
        <v>2.8042510121457411</v>
      </c>
      <c r="D68">
        <v>1.3455427650066611</v>
      </c>
      <c r="E68"/>
      <c r="F68"/>
      <c r="G68"/>
      <c r="H68"/>
      <c r="I68"/>
    </row>
    <row r="69" spans="1:9" x14ac:dyDescent="0.2">
      <c r="A69">
        <v>2</v>
      </c>
      <c r="B69">
        <v>67.849179341284611</v>
      </c>
      <c r="C69">
        <v>3.6608206587153944</v>
      </c>
      <c r="D69">
        <v>1.7565441645512074</v>
      </c>
      <c r="E69"/>
      <c r="F69"/>
      <c r="G69"/>
      <c r="H69"/>
      <c r="I69"/>
    </row>
    <row r="70" spans="1:9" x14ac:dyDescent="0.2">
      <c r="A70">
        <v>3</v>
      </c>
      <c r="B70">
        <v>68.222609694714976</v>
      </c>
      <c r="C70">
        <v>2.8973903052850289</v>
      </c>
      <c r="D70">
        <v>1.3902330946093273</v>
      </c>
      <c r="E70"/>
      <c r="F70"/>
      <c r="G70"/>
      <c r="H70"/>
      <c r="I70"/>
    </row>
    <row r="71" spans="1:9" x14ac:dyDescent="0.2">
      <c r="A71">
        <v>4</v>
      </c>
      <c r="B71">
        <v>68.596040048145326</v>
      </c>
      <c r="C71">
        <v>3.1739599518546697</v>
      </c>
      <c r="D71">
        <v>1.5229374371772491</v>
      </c>
      <c r="E71"/>
      <c r="F71"/>
      <c r="G71"/>
      <c r="H71"/>
      <c r="I71"/>
    </row>
    <row r="72" spans="1:9" x14ac:dyDescent="0.2">
      <c r="A72">
        <v>5</v>
      </c>
      <c r="B72">
        <v>68.969470401575677</v>
      </c>
      <c r="C72">
        <v>1.4005295984243276</v>
      </c>
      <c r="D72">
        <v>0.67200563008644099</v>
      </c>
      <c r="E72"/>
      <c r="F72"/>
      <c r="G72"/>
      <c r="H72"/>
      <c r="I72"/>
    </row>
    <row r="73" spans="1:9" x14ac:dyDescent="0.2">
      <c r="A73">
        <v>6</v>
      </c>
      <c r="B73">
        <v>69.342900755006028</v>
      </c>
      <c r="C73">
        <v>1.59709924499397</v>
      </c>
      <c r="D73">
        <v>0.76632417169207123</v>
      </c>
      <c r="E73"/>
      <c r="F73"/>
      <c r="G73"/>
      <c r="H73"/>
      <c r="I73"/>
    </row>
    <row r="74" spans="1:9" x14ac:dyDescent="0.2">
      <c r="A74">
        <v>7</v>
      </c>
      <c r="B74">
        <v>69.716331108436378</v>
      </c>
      <c r="C74">
        <v>-2.0863311084363829</v>
      </c>
      <c r="D74">
        <v>-1.0010686333734684</v>
      </c>
      <c r="E74"/>
      <c r="F74"/>
      <c r="G74"/>
      <c r="H74"/>
      <c r="I74"/>
    </row>
    <row r="75" spans="1:9" x14ac:dyDescent="0.2">
      <c r="A75">
        <v>8</v>
      </c>
      <c r="B75">
        <v>70.089761461866729</v>
      </c>
      <c r="C75">
        <v>-2.5597614618667279</v>
      </c>
      <c r="D75">
        <v>-1.2282311748270294</v>
      </c>
      <c r="E75"/>
      <c r="F75"/>
      <c r="G75"/>
      <c r="H75"/>
      <c r="I75"/>
    </row>
    <row r="76" spans="1:9" x14ac:dyDescent="0.2">
      <c r="A76">
        <v>9</v>
      </c>
      <c r="B76">
        <v>70.463191815297094</v>
      </c>
      <c r="C76">
        <v>-2.2231918152970991</v>
      </c>
      <c r="D76">
        <v>-1.0667374815373944</v>
      </c>
      <c r="E76"/>
      <c r="F76"/>
      <c r="G76"/>
      <c r="H76"/>
      <c r="I76"/>
    </row>
    <row r="77" spans="1:9" x14ac:dyDescent="0.2">
      <c r="A77">
        <v>10</v>
      </c>
      <c r="B77">
        <v>70.836622168727445</v>
      </c>
      <c r="C77">
        <v>-1.7766221687274424</v>
      </c>
      <c r="D77">
        <v>-0.85246331192459412</v>
      </c>
      <c r="E77"/>
      <c r="F77"/>
      <c r="G77"/>
      <c r="H77"/>
      <c r="I77"/>
    </row>
    <row r="78" spans="1:9" x14ac:dyDescent="0.2">
      <c r="A78">
        <v>11</v>
      </c>
      <c r="B78">
        <v>71.210052522157795</v>
      </c>
      <c r="C78">
        <v>-0.99005252215779649</v>
      </c>
      <c r="D78">
        <v>-0.47504948822205717</v>
      </c>
      <c r="E78"/>
      <c r="F78"/>
      <c r="G78"/>
      <c r="H78"/>
      <c r="I78"/>
    </row>
    <row r="79" spans="1:9" x14ac:dyDescent="0.2">
      <c r="A79">
        <v>12</v>
      </c>
      <c r="B79">
        <v>71.583482875588146</v>
      </c>
      <c r="C79">
        <v>-3.1334828755881432</v>
      </c>
      <c r="D79">
        <v>-1.5035156247634689</v>
      </c>
      <c r="E79"/>
      <c r="F79"/>
      <c r="G79"/>
      <c r="H79"/>
      <c r="I79"/>
    </row>
    <row r="80" spans="1:9" x14ac:dyDescent="0.2">
      <c r="A80">
        <v>13</v>
      </c>
      <c r="B80">
        <v>71.956913229018497</v>
      </c>
      <c r="C80">
        <v>-2.7369132290184979</v>
      </c>
      <c r="D80">
        <v>-1.3132325807521066</v>
      </c>
      <c r="E80"/>
      <c r="F80"/>
      <c r="G80"/>
      <c r="H80"/>
      <c r="I80"/>
    </row>
    <row r="81" spans="1:9" x14ac:dyDescent="0.2">
      <c r="A81">
        <v>14</v>
      </c>
      <c r="B81">
        <v>72.330343582448862</v>
      </c>
      <c r="C81">
        <v>-2.5903435824488668</v>
      </c>
      <c r="D81">
        <v>-1.2429051647479146</v>
      </c>
      <c r="E81"/>
      <c r="F81"/>
      <c r="G81"/>
      <c r="H81"/>
      <c r="I81"/>
    </row>
    <row r="82" spans="1:9" x14ac:dyDescent="0.2">
      <c r="A82">
        <v>15</v>
      </c>
      <c r="B82">
        <v>72.703773935879212</v>
      </c>
      <c r="C82">
        <v>-2.6537739358792152</v>
      </c>
      <c r="D82">
        <v>-1.2733404762697296</v>
      </c>
      <c r="E82"/>
      <c r="F82"/>
      <c r="G82"/>
      <c r="H82"/>
      <c r="I82"/>
    </row>
    <row r="83" spans="1:9" x14ac:dyDescent="0.2">
      <c r="A83">
        <v>16</v>
      </c>
      <c r="B83">
        <v>73.077204289309563</v>
      </c>
      <c r="C83">
        <v>-1.577204289309563</v>
      </c>
      <c r="D83">
        <v>-0.75677812407888034</v>
      </c>
      <c r="E83"/>
      <c r="F83"/>
      <c r="G83"/>
      <c r="H83"/>
      <c r="I83"/>
    </row>
    <row r="84" spans="1:9" x14ac:dyDescent="0.2">
      <c r="A84">
        <v>17</v>
      </c>
      <c r="B84">
        <v>73.450634642739914</v>
      </c>
      <c r="C84">
        <v>-2.4506346427399137</v>
      </c>
      <c r="D84">
        <v>-1.1758696703439051</v>
      </c>
      <c r="E84"/>
      <c r="F84"/>
      <c r="G84"/>
      <c r="H84"/>
      <c r="I84"/>
    </row>
    <row r="85" spans="1:9" x14ac:dyDescent="0.2">
      <c r="A85">
        <v>18</v>
      </c>
      <c r="B85">
        <v>73.824064996170264</v>
      </c>
      <c r="C85">
        <v>-1.2940649961702633</v>
      </c>
      <c r="D85">
        <v>-0.62092151719076449</v>
      </c>
      <c r="E85"/>
      <c r="F85"/>
      <c r="G85"/>
      <c r="H85"/>
      <c r="I85"/>
    </row>
    <row r="86" spans="1:9" x14ac:dyDescent="0.2">
      <c r="A86">
        <v>19</v>
      </c>
      <c r="B86">
        <v>74.197495349600615</v>
      </c>
      <c r="C86">
        <v>-1.8074953496006145</v>
      </c>
      <c r="D86">
        <v>-0.86727695912547453</v>
      </c>
      <c r="E86"/>
      <c r="F86"/>
      <c r="G86"/>
      <c r="H86"/>
      <c r="I86"/>
    </row>
    <row r="87" spans="1:9" x14ac:dyDescent="0.2">
      <c r="A87">
        <v>20</v>
      </c>
      <c r="B87">
        <v>74.57092570303098</v>
      </c>
      <c r="C87">
        <v>-1.9509257030309755</v>
      </c>
      <c r="D87">
        <v>-0.9360980716095878</v>
      </c>
      <c r="E87"/>
      <c r="F87"/>
      <c r="G87"/>
      <c r="H87"/>
      <c r="I87"/>
    </row>
    <row r="88" spans="1:9" x14ac:dyDescent="0.2">
      <c r="A88">
        <v>21</v>
      </c>
      <c r="B88">
        <v>74.944356056461331</v>
      </c>
      <c r="C88">
        <v>0.56564394353867442</v>
      </c>
      <c r="D88">
        <v>0.27140869790252009</v>
      </c>
      <c r="E88"/>
      <c r="F88"/>
      <c r="G88"/>
      <c r="H88"/>
      <c r="I88"/>
    </row>
    <row r="89" spans="1:9" x14ac:dyDescent="0.2">
      <c r="A89">
        <v>22</v>
      </c>
      <c r="B89">
        <v>75.317786409891681</v>
      </c>
      <c r="C89">
        <v>3.5922135901083152</v>
      </c>
      <c r="D89">
        <v>1.7236249485492365</v>
      </c>
      <c r="E89"/>
      <c r="F89"/>
      <c r="G89"/>
      <c r="H89"/>
      <c r="I89"/>
    </row>
    <row r="90" spans="1:9" x14ac:dyDescent="0.2">
      <c r="A90">
        <v>23</v>
      </c>
      <c r="B90">
        <v>75.691216763322032</v>
      </c>
      <c r="C90">
        <v>2.318783236677973</v>
      </c>
      <c r="D90">
        <v>1.1126043974727549</v>
      </c>
      <c r="E90"/>
      <c r="F90"/>
      <c r="G90"/>
      <c r="H90"/>
      <c r="I90"/>
    </row>
    <row r="91" spans="1:9" x14ac:dyDescent="0.2">
      <c r="A91">
        <v>24</v>
      </c>
      <c r="B91">
        <v>76.064647116752383</v>
      </c>
      <c r="C91">
        <v>2.8053528832476218</v>
      </c>
      <c r="D91">
        <v>1.3460714675666974</v>
      </c>
      <c r="E91"/>
      <c r="F91"/>
      <c r="G91"/>
      <c r="H91"/>
      <c r="I91"/>
    </row>
    <row r="92" spans="1:9" x14ac:dyDescent="0.2">
      <c r="A92">
        <v>25</v>
      </c>
      <c r="B92">
        <v>76.438077470182748</v>
      </c>
      <c r="C92">
        <v>0.18192252981725687</v>
      </c>
      <c r="D92">
        <v>8.7290525251523657E-2</v>
      </c>
      <c r="E92"/>
      <c r="F92"/>
      <c r="G92"/>
      <c r="H92"/>
      <c r="I92"/>
    </row>
    <row r="93" spans="1:9" x14ac:dyDescent="0.2">
      <c r="A93">
        <v>26</v>
      </c>
      <c r="B93">
        <v>76.811507823613098</v>
      </c>
      <c r="C93">
        <v>0.13849217638690448</v>
      </c>
      <c r="D93">
        <v>6.6451663970279753E-2</v>
      </c>
      <c r="E93"/>
      <c r="F93"/>
      <c r="G93"/>
      <c r="H93"/>
      <c r="I93"/>
    </row>
    <row r="94" spans="1:9" x14ac:dyDescent="0.2">
      <c r="A94">
        <v>27</v>
      </c>
      <c r="B94">
        <v>77.184938177043449</v>
      </c>
      <c r="C94">
        <v>0.41506182295654526</v>
      </c>
      <c r="D94">
        <v>0.19915600653820142</v>
      </c>
      <c r="E94"/>
      <c r="F94"/>
      <c r="G94"/>
      <c r="H94"/>
      <c r="I94"/>
    </row>
    <row r="95" spans="1:9" x14ac:dyDescent="0.2">
      <c r="A95">
        <v>28</v>
      </c>
      <c r="B95">
        <v>77.5583685304738</v>
      </c>
      <c r="C95">
        <v>-9.8368530473806004E-2</v>
      </c>
      <c r="D95">
        <v>-4.7199435396508664E-2</v>
      </c>
      <c r="E95"/>
      <c r="F95"/>
      <c r="G95"/>
      <c r="H95"/>
      <c r="I95"/>
    </row>
    <row r="96" spans="1:9" x14ac:dyDescent="0.2">
      <c r="A96">
        <v>29</v>
      </c>
      <c r="B96">
        <v>77.93179888390415</v>
      </c>
      <c r="C96">
        <v>-0.17179888390414533</v>
      </c>
      <c r="D96">
        <v>-8.2432972038605862E-2</v>
      </c>
      <c r="E96"/>
      <c r="F96"/>
      <c r="G96"/>
      <c r="H96"/>
      <c r="I96"/>
    </row>
    <row r="97" spans="1:9" x14ac:dyDescent="0.2">
      <c r="A97">
        <v>30</v>
      </c>
      <c r="B97">
        <v>78.305229237334515</v>
      </c>
      <c r="C97">
        <v>1.8747707626654915</v>
      </c>
      <c r="D97">
        <v>0.89955721682002898</v>
      </c>
      <c r="E97"/>
      <c r="F97"/>
      <c r="G97"/>
      <c r="H97"/>
      <c r="I97"/>
    </row>
    <row r="98" spans="1:9" x14ac:dyDescent="0.2">
      <c r="A98">
        <v>31</v>
      </c>
      <c r="B98">
        <v>78.678659590764866</v>
      </c>
      <c r="C98">
        <v>1.8813404092351362</v>
      </c>
      <c r="D98">
        <v>0.90270948114021643</v>
      </c>
      <c r="E98"/>
      <c r="F98"/>
      <c r="G98"/>
      <c r="H98"/>
      <c r="I98"/>
    </row>
    <row r="99" spans="1:9" x14ac:dyDescent="0.2">
      <c r="A99">
        <v>32</v>
      </c>
      <c r="B99">
        <v>79.052089944195217</v>
      </c>
      <c r="C99">
        <v>1.347910055804789</v>
      </c>
      <c r="D99">
        <v>0.64675758896493518</v>
      </c>
      <c r="E99"/>
      <c r="F99"/>
      <c r="G99"/>
      <c r="H99"/>
      <c r="I99"/>
    </row>
    <row r="100" spans="1:9" x14ac:dyDescent="0.2">
      <c r="A100">
        <v>33</v>
      </c>
      <c r="B100">
        <v>79.425520297625567</v>
      </c>
      <c r="C100">
        <v>1.7344797023744292</v>
      </c>
      <c r="D100">
        <v>0.83224240785600834</v>
      </c>
      <c r="E100"/>
      <c r="F100"/>
      <c r="G100"/>
      <c r="H100"/>
      <c r="I100"/>
    </row>
    <row r="101" spans="1:9" x14ac:dyDescent="0.2">
      <c r="A101">
        <v>34</v>
      </c>
      <c r="B101">
        <v>79.798950651055918</v>
      </c>
      <c r="C101">
        <v>2.0210493489440751</v>
      </c>
      <c r="D101">
        <v>0.96974497554421901</v>
      </c>
      <c r="E101"/>
      <c r="F101"/>
      <c r="G101"/>
      <c r="H101"/>
      <c r="I101"/>
    </row>
    <row r="102" spans="1:9" x14ac:dyDescent="0.2">
      <c r="A102">
        <v>35</v>
      </c>
      <c r="B102">
        <v>80.172381004486269</v>
      </c>
      <c r="C102">
        <v>-0.3323810044862654</v>
      </c>
      <c r="D102">
        <v>-0.15948388852320672</v>
      </c>
      <c r="E102"/>
      <c r="F102"/>
      <c r="G102"/>
      <c r="H102"/>
      <c r="I102"/>
    </row>
    <row r="103" spans="1:9" x14ac:dyDescent="0.2">
      <c r="A103">
        <v>36</v>
      </c>
      <c r="B103">
        <v>80.545811357916634</v>
      </c>
      <c r="C103">
        <v>-1.5158113579166326</v>
      </c>
      <c r="D103">
        <v>-0.72732041351712173</v>
      </c>
      <c r="E103"/>
      <c r="F103"/>
      <c r="G103"/>
      <c r="H103"/>
      <c r="I103"/>
    </row>
    <row r="104" spans="1:9" x14ac:dyDescent="0.2">
      <c r="A104">
        <v>37</v>
      </c>
      <c r="B104">
        <v>80.919241711346984</v>
      </c>
      <c r="C104">
        <v>-1.3692417113469872</v>
      </c>
      <c r="D104">
        <v>-0.65699299751292273</v>
      </c>
      <c r="E104"/>
      <c r="F104"/>
      <c r="G104"/>
      <c r="H104"/>
      <c r="I104"/>
    </row>
    <row r="105" spans="1:9" ht="17" thickBot="1" x14ac:dyDescent="0.25">
      <c r="A105" s="12">
        <v>38</v>
      </c>
      <c r="B105" s="12">
        <v>81.292672064777335</v>
      </c>
      <c r="C105" s="12">
        <v>-1.0926720647773323</v>
      </c>
      <c r="D105" s="12">
        <v>-0.52428865494499421</v>
      </c>
      <c r="E105"/>
      <c r="F105"/>
      <c r="G105"/>
      <c r="H105"/>
      <c r="I105"/>
    </row>
    <row r="108" spans="1:9" x14ac:dyDescent="0.2">
      <c r="A108" s="15" t="s">
        <v>90</v>
      </c>
    </row>
    <row r="109" spans="1:9" x14ac:dyDescent="0.2">
      <c r="A109" s="16" t="s">
        <v>53</v>
      </c>
      <c r="B109" s="16" t="s">
        <v>54</v>
      </c>
      <c r="C109" s="16" t="s">
        <v>63</v>
      </c>
      <c r="D109" s="16" t="s">
        <v>64</v>
      </c>
    </row>
    <row r="110" spans="1:9" x14ac:dyDescent="0.2">
      <c r="A110" s="26">
        <v>45873</v>
      </c>
      <c r="B110" s="20">
        <v>2716700</v>
      </c>
      <c r="C110" s="16">
        <v>81.17</v>
      </c>
      <c r="D110" s="16">
        <v>83.65</v>
      </c>
    </row>
    <row r="111" spans="1:9" x14ac:dyDescent="0.2">
      <c r="A111" s="26">
        <v>45874</v>
      </c>
      <c r="B111" s="20">
        <v>3493500</v>
      </c>
      <c r="C111" s="16">
        <v>83.81</v>
      </c>
      <c r="D111" s="16">
        <v>82.49</v>
      </c>
    </row>
    <row r="112" spans="1:9" x14ac:dyDescent="0.2">
      <c r="A112" s="26">
        <v>45875</v>
      </c>
      <c r="B112" s="20">
        <v>6198900</v>
      </c>
      <c r="C112" s="16">
        <v>82.55</v>
      </c>
      <c r="D112" s="16">
        <v>85.18</v>
      </c>
    </row>
    <row r="113" spans="1:4" x14ac:dyDescent="0.2">
      <c r="A113" s="26">
        <v>45876</v>
      </c>
      <c r="B113" s="20">
        <v>4602100</v>
      </c>
      <c r="C113" s="16">
        <v>82.69</v>
      </c>
      <c r="D113" s="16">
        <v>84.63</v>
      </c>
    </row>
    <row r="114" spans="1:4" x14ac:dyDescent="0.2">
      <c r="A114" s="26">
        <v>45877</v>
      </c>
      <c r="B114" s="20">
        <v>2975400</v>
      </c>
      <c r="C114" s="16">
        <v>83.91</v>
      </c>
      <c r="D114" s="16">
        <v>80.92</v>
      </c>
    </row>
    <row r="115" spans="1:4" x14ac:dyDescent="0.2">
      <c r="A115" s="26">
        <v>45880</v>
      </c>
      <c r="B115" s="20">
        <v>2569000</v>
      </c>
      <c r="C115" s="16">
        <v>80.709999999999994</v>
      </c>
      <c r="D115" s="16">
        <v>79.400000000000006</v>
      </c>
    </row>
    <row r="116" spans="1:4" x14ac:dyDescent="0.2">
      <c r="A116" s="26">
        <v>45881</v>
      </c>
      <c r="B116" s="20">
        <v>3728200</v>
      </c>
      <c r="C116" s="16">
        <v>80.349999999999994</v>
      </c>
      <c r="D116" s="16">
        <v>80.17</v>
      </c>
    </row>
    <row r="117" spans="1:4" x14ac:dyDescent="0.2">
      <c r="A117" s="26">
        <v>45882</v>
      </c>
      <c r="B117" s="20">
        <v>4995900</v>
      </c>
      <c r="C117" s="16">
        <v>81</v>
      </c>
      <c r="D117" s="16">
        <v>84.84</v>
      </c>
    </row>
    <row r="118" spans="1:4" x14ac:dyDescent="0.2">
      <c r="A118" s="26">
        <v>45883</v>
      </c>
      <c r="B118" s="20">
        <v>4300700</v>
      </c>
      <c r="C118" s="16">
        <v>83.43</v>
      </c>
      <c r="D118" s="16">
        <v>85.27</v>
      </c>
    </row>
    <row r="119" spans="1:4" x14ac:dyDescent="0.2">
      <c r="A119" s="26">
        <v>45884</v>
      </c>
      <c r="B119" s="20">
        <v>2393100</v>
      </c>
      <c r="C119" s="16">
        <v>85.35</v>
      </c>
      <c r="D119" s="16">
        <v>85.11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1C910-9638-D746-90AC-F077C552B916}">
  <dimension ref="A1:I119"/>
  <sheetViews>
    <sheetView topLeftCell="A105" workbookViewId="0">
      <selection activeCell="G114" sqref="G114"/>
    </sheetView>
  </sheetViews>
  <sheetFormatPr baseColWidth="10" defaultRowHeight="16" x14ac:dyDescent="0.2"/>
  <cols>
    <col min="1" max="1" width="15.1640625" style="1" customWidth="1"/>
    <col min="2" max="4" width="10.83203125" style="1"/>
    <col min="6" max="16384" width="10.83203125" style="1"/>
  </cols>
  <sheetData>
    <row r="1" spans="1:6" x14ac:dyDescent="0.2">
      <c r="A1" s="16" t="s">
        <v>53</v>
      </c>
      <c r="B1" s="16" t="s">
        <v>54</v>
      </c>
      <c r="C1" s="16" t="s">
        <v>34</v>
      </c>
      <c r="D1" s="16" t="s">
        <v>55</v>
      </c>
      <c r="E1" s="1" t="s">
        <v>56</v>
      </c>
      <c r="F1" s="1" t="s">
        <v>57</v>
      </c>
    </row>
    <row r="2" spans="1:6" ht="18" x14ac:dyDescent="0.2">
      <c r="A2" s="17">
        <v>45817</v>
      </c>
      <c r="B2" s="19">
        <v>341700</v>
      </c>
      <c r="C2" s="18">
        <v>1</v>
      </c>
      <c r="D2" s="18">
        <v>298.63</v>
      </c>
      <c r="E2" s="1"/>
      <c r="F2" s="1" cm="1">
        <f t="array" ref="F2">SUMPRODUCT(--(D7:D39&gt;E7:E39))/33</f>
        <v>0.78787878787878785</v>
      </c>
    </row>
    <row r="3" spans="1:6" ht="18" x14ac:dyDescent="0.2">
      <c r="A3" s="17">
        <v>45818</v>
      </c>
      <c r="B3" s="19">
        <v>398500</v>
      </c>
      <c r="C3" s="18">
        <v>2</v>
      </c>
      <c r="D3" s="18">
        <v>299.56</v>
      </c>
      <c r="E3" s="1"/>
    </row>
    <row r="4" spans="1:6" ht="18" x14ac:dyDescent="0.2">
      <c r="A4" s="17">
        <v>45819</v>
      </c>
      <c r="B4" s="19">
        <v>384200</v>
      </c>
      <c r="C4" s="18">
        <v>3</v>
      </c>
      <c r="D4" s="18">
        <v>292.82</v>
      </c>
      <c r="E4" s="1"/>
    </row>
    <row r="5" spans="1:6" ht="18" x14ac:dyDescent="0.2">
      <c r="A5" s="17">
        <v>45820</v>
      </c>
      <c r="B5" s="19">
        <v>295900</v>
      </c>
      <c r="C5" s="18">
        <v>4</v>
      </c>
      <c r="D5" s="18">
        <v>292.68</v>
      </c>
      <c r="E5" s="1"/>
    </row>
    <row r="6" spans="1:6" ht="18" x14ac:dyDescent="0.2">
      <c r="A6" s="17">
        <v>45821</v>
      </c>
      <c r="B6" s="19">
        <v>309700</v>
      </c>
      <c r="C6" s="18">
        <v>5</v>
      </c>
      <c r="D6" s="18">
        <v>283.61</v>
      </c>
      <c r="E6" s="1"/>
    </row>
    <row r="7" spans="1:6" ht="18" x14ac:dyDescent="0.2">
      <c r="A7" s="17">
        <v>45824</v>
      </c>
      <c r="B7" s="19">
        <v>379000</v>
      </c>
      <c r="C7" s="18">
        <v>6</v>
      </c>
      <c r="D7" s="18">
        <v>293.06</v>
      </c>
      <c r="E7" s="1">
        <f>AVERAGE(D2:D6)</f>
        <v>293.46000000000004</v>
      </c>
    </row>
    <row r="8" spans="1:6" ht="18" x14ac:dyDescent="0.2">
      <c r="A8" s="17">
        <v>45825</v>
      </c>
      <c r="B8" s="19">
        <v>570200</v>
      </c>
      <c r="C8" s="18">
        <v>7</v>
      </c>
      <c r="D8" s="18">
        <v>289.36</v>
      </c>
      <c r="E8" s="1">
        <f t="shared" ref="E8:E38" si="0">AVERAGE(D3:D7)</f>
        <v>292.346</v>
      </c>
    </row>
    <row r="9" spans="1:6" ht="18" x14ac:dyDescent="0.2">
      <c r="A9" s="17">
        <v>45826</v>
      </c>
      <c r="B9" s="19">
        <v>571200</v>
      </c>
      <c r="C9" s="18">
        <v>8</v>
      </c>
      <c r="D9" s="18">
        <v>291.73</v>
      </c>
      <c r="E9" s="1">
        <f t="shared" si="0"/>
        <v>290.30600000000004</v>
      </c>
    </row>
    <row r="10" spans="1:6" ht="18" x14ac:dyDescent="0.2">
      <c r="A10" s="17">
        <v>45828</v>
      </c>
      <c r="B10" s="19">
        <v>777900</v>
      </c>
      <c r="C10" s="18">
        <v>9</v>
      </c>
      <c r="D10" s="18">
        <v>294.04000000000002</v>
      </c>
      <c r="E10" s="1">
        <f t="shared" si="0"/>
        <v>290.08800000000002</v>
      </c>
    </row>
    <row r="11" spans="1:6" ht="18" x14ac:dyDescent="0.2">
      <c r="A11" s="17">
        <v>45831</v>
      </c>
      <c r="B11" s="19">
        <v>411700</v>
      </c>
      <c r="C11" s="18">
        <v>10</v>
      </c>
      <c r="D11" s="18">
        <v>296.25</v>
      </c>
      <c r="E11" s="1">
        <f t="shared" si="0"/>
        <v>290.36</v>
      </c>
    </row>
    <row r="12" spans="1:6" ht="18" x14ac:dyDescent="0.2">
      <c r="A12" s="17">
        <v>45832</v>
      </c>
      <c r="B12" s="19">
        <v>541600</v>
      </c>
      <c r="C12" s="18">
        <v>11</v>
      </c>
      <c r="D12" s="18">
        <v>298.94</v>
      </c>
      <c r="E12" s="1">
        <f t="shared" si="0"/>
        <v>292.88800000000003</v>
      </c>
    </row>
    <row r="13" spans="1:6" ht="18" x14ac:dyDescent="0.2">
      <c r="A13" s="17">
        <v>45833</v>
      </c>
      <c r="B13" s="19">
        <v>284900</v>
      </c>
      <c r="C13" s="18">
        <v>12</v>
      </c>
      <c r="D13" s="18">
        <v>303.05</v>
      </c>
      <c r="E13" s="1">
        <f t="shared" si="0"/>
        <v>294.06400000000002</v>
      </c>
    </row>
    <row r="14" spans="1:6" ht="18" x14ac:dyDescent="0.2">
      <c r="A14" s="17">
        <v>45834</v>
      </c>
      <c r="B14" s="19">
        <v>443200</v>
      </c>
      <c r="C14" s="18">
        <v>13</v>
      </c>
      <c r="D14" s="18">
        <v>308.32</v>
      </c>
      <c r="E14" s="1">
        <f t="shared" si="0"/>
        <v>296.80200000000002</v>
      </c>
    </row>
    <row r="15" spans="1:6" ht="18" x14ac:dyDescent="0.2">
      <c r="A15" s="17">
        <v>45835</v>
      </c>
      <c r="B15" s="19">
        <v>893900</v>
      </c>
      <c r="C15" s="18">
        <v>14</v>
      </c>
      <c r="D15" s="18">
        <v>309.26</v>
      </c>
      <c r="E15" s="1">
        <f>AVERAGE(D10:D14)</f>
        <v>300.12</v>
      </c>
    </row>
    <row r="16" spans="1:6" ht="18" x14ac:dyDescent="0.2">
      <c r="A16" s="17">
        <v>45838</v>
      </c>
      <c r="B16" s="19">
        <v>783800</v>
      </c>
      <c r="C16" s="18">
        <v>15</v>
      </c>
      <c r="D16" s="18">
        <v>308.36</v>
      </c>
      <c r="E16" s="1">
        <f t="shared" si="0"/>
        <v>303.16399999999999</v>
      </c>
    </row>
    <row r="17" spans="1:5" ht="18" x14ac:dyDescent="0.2">
      <c r="A17" s="17">
        <v>45839</v>
      </c>
      <c r="B17" s="19">
        <v>452000</v>
      </c>
      <c r="C17" s="18">
        <v>16</v>
      </c>
      <c r="D17" s="18">
        <v>315.48</v>
      </c>
      <c r="E17" s="1">
        <f t="shared" si="0"/>
        <v>305.58599999999996</v>
      </c>
    </row>
    <row r="18" spans="1:5" ht="18" x14ac:dyDescent="0.2">
      <c r="A18" s="17">
        <v>45840</v>
      </c>
      <c r="B18" s="19">
        <v>428800</v>
      </c>
      <c r="C18" s="18">
        <v>17</v>
      </c>
      <c r="D18" s="18">
        <v>320.39</v>
      </c>
      <c r="E18" s="1">
        <f t="shared" si="0"/>
        <v>308.89400000000001</v>
      </c>
    </row>
    <row r="19" spans="1:5" ht="18" x14ac:dyDescent="0.2">
      <c r="A19" s="17">
        <v>45841</v>
      </c>
      <c r="B19" s="19">
        <v>257500</v>
      </c>
      <c r="C19" s="18">
        <v>18</v>
      </c>
      <c r="D19" s="18">
        <v>323.72000000000003</v>
      </c>
      <c r="E19" s="1">
        <f t="shared" si="0"/>
        <v>312.36199999999997</v>
      </c>
    </row>
    <row r="20" spans="1:5" ht="18" x14ac:dyDescent="0.2">
      <c r="A20" s="17">
        <v>45845</v>
      </c>
      <c r="B20" s="19">
        <v>420400</v>
      </c>
      <c r="C20" s="18">
        <v>19</v>
      </c>
      <c r="D20" s="18">
        <v>317.11</v>
      </c>
      <c r="E20" s="1">
        <f t="shared" si="0"/>
        <v>315.44200000000001</v>
      </c>
    </row>
    <row r="21" spans="1:5" ht="18" x14ac:dyDescent="0.2">
      <c r="A21" s="17">
        <v>45846</v>
      </c>
      <c r="B21" s="19">
        <v>372900</v>
      </c>
      <c r="C21" s="18">
        <v>20</v>
      </c>
      <c r="D21" s="18">
        <v>323.06</v>
      </c>
      <c r="E21" s="1">
        <f t="shared" si="0"/>
        <v>317.012</v>
      </c>
    </row>
    <row r="22" spans="1:5" ht="18" x14ac:dyDescent="0.2">
      <c r="A22" s="17">
        <v>45847</v>
      </c>
      <c r="B22" s="19">
        <v>361000</v>
      </c>
      <c r="C22" s="18">
        <v>21</v>
      </c>
      <c r="D22" s="18">
        <v>321.77999999999997</v>
      </c>
      <c r="E22" s="1">
        <f t="shared" si="0"/>
        <v>319.952</v>
      </c>
    </row>
    <row r="23" spans="1:5" ht="18" x14ac:dyDescent="0.2">
      <c r="A23" s="17">
        <v>45848</v>
      </c>
      <c r="B23" s="19">
        <v>477600</v>
      </c>
      <c r="C23" s="18">
        <v>22</v>
      </c>
      <c r="D23" s="18">
        <v>330.35</v>
      </c>
      <c r="E23" s="1">
        <f t="shared" si="0"/>
        <v>321.21199999999999</v>
      </c>
    </row>
    <row r="24" spans="1:5" ht="18" x14ac:dyDescent="0.2">
      <c r="A24" s="17">
        <v>45849</v>
      </c>
      <c r="B24" s="19">
        <v>417500</v>
      </c>
      <c r="C24" s="18">
        <v>23</v>
      </c>
      <c r="D24" s="18">
        <v>327.14</v>
      </c>
      <c r="E24" s="1">
        <f t="shared" si="0"/>
        <v>323.20400000000001</v>
      </c>
    </row>
    <row r="25" spans="1:5" ht="18" x14ac:dyDescent="0.2">
      <c r="A25" s="17">
        <v>45852</v>
      </c>
      <c r="B25" s="19">
        <v>378700</v>
      </c>
      <c r="C25" s="18">
        <v>24</v>
      </c>
      <c r="D25" s="18">
        <v>322.83</v>
      </c>
      <c r="E25" s="1">
        <f t="shared" si="0"/>
        <v>323.88800000000003</v>
      </c>
    </row>
    <row r="26" spans="1:5" ht="18" x14ac:dyDescent="0.2">
      <c r="A26" s="17">
        <v>45853</v>
      </c>
      <c r="B26" s="19">
        <v>297500</v>
      </c>
      <c r="C26" s="18">
        <v>25</v>
      </c>
      <c r="D26" s="18">
        <v>319.55</v>
      </c>
      <c r="E26" s="1">
        <f t="shared" si="0"/>
        <v>325.03199999999998</v>
      </c>
    </row>
    <row r="27" spans="1:5" ht="18" x14ac:dyDescent="0.2">
      <c r="A27" s="17">
        <v>45854</v>
      </c>
      <c r="B27" s="19">
        <v>297900</v>
      </c>
      <c r="C27" s="18">
        <v>26</v>
      </c>
      <c r="D27" s="18">
        <v>319.47000000000003</v>
      </c>
      <c r="E27" s="1">
        <f t="shared" si="0"/>
        <v>324.33</v>
      </c>
    </row>
    <row r="28" spans="1:5" ht="18" x14ac:dyDescent="0.2">
      <c r="A28" s="17">
        <v>45855</v>
      </c>
      <c r="B28" s="19">
        <v>393400</v>
      </c>
      <c r="C28" s="18">
        <v>27</v>
      </c>
      <c r="D28" s="18">
        <v>329.9</v>
      </c>
      <c r="E28" s="1">
        <f t="shared" si="0"/>
        <v>323.86799999999999</v>
      </c>
    </row>
    <row r="29" spans="1:5" ht="18" x14ac:dyDescent="0.2">
      <c r="A29" s="17">
        <v>45856</v>
      </c>
      <c r="B29" s="19">
        <v>426600</v>
      </c>
      <c r="C29" s="18">
        <v>28</v>
      </c>
      <c r="D29" s="18">
        <v>331.73</v>
      </c>
      <c r="E29" s="1">
        <f t="shared" si="0"/>
        <v>323.77799999999996</v>
      </c>
    </row>
    <row r="30" spans="1:5" ht="18" x14ac:dyDescent="0.2">
      <c r="A30" s="17">
        <v>45859</v>
      </c>
      <c r="B30" s="19">
        <v>371900</v>
      </c>
      <c r="C30" s="18">
        <v>29</v>
      </c>
      <c r="D30" s="18">
        <v>328.38</v>
      </c>
      <c r="E30" s="1">
        <f t="shared" si="0"/>
        <v>324.69600000000003</v>
      </c>
    </row>
    <row r="31" spans="1:5" ht="18" x14ac:dyDescent="0.2">
      <c r="A31" s="17">
        <v>45860</v>
      </c>
      <c r="B31" s="19">
        <v>434700</v>
      </c>
      <c r="C31" s="18">
        <v>30</v>
      </c>
      <c r="D31" s="18">
        <v>328.1</v>
      </c>
      <c r="E31" s="1">
        <f t="shared" si="0"/>
        <v>325.80600000000004</v>
      </c>
    </row>
    <row r="32" spans="1:5" ht="18" x14ac:dyDescent="0.2">
      <c r="A32" s="17">
        <v>45861</v>
      </c>
      <c r="B32" s="19">
        <v>368400</v>
      </c>
      <c r="C32" s="18">
        <v>31</v>
      </c>
      <c r="D32" s="18">
        <v>336.77</v>
      </c>
      <c r="E32" s="1">
        <f t="shared" si="0"/>
        <v>327.51599999999996</v>
      </c>
    </row>
    <row r="33" spans="1:9" ht="18" x14ac:dyDescent="0.2">
      <c r="A33" s="17">
        <v>45862</v>
      </c>
      <c r="B33" s="19">
        <v>317800</v>
      </c>
      <c r="C33" s="18">
        <v>32</v>
      </c>
      <c r="D33" s="18">
        <v>333.4</v>
      </c>
      <c r="E33" s="1">
        <f t="shared" si="0"/>
        <v>330.976</v>
      </c>
    </row>
    <row r="34" spans="1:9" ht="18" x14ac:dyDescent="0.2">
      <c r="A34" s="17">
        <v>45863</v>
      </c>
      <c r="B34" s="19">
        <v>298300</v>
      </c>
      <c r="C34" s="18">
        <v>33</v>
      </c>
      <c r="D34" s="18">
        <v>335.69</v>
      </c>
      <c r="E34" s="1">
        <f t="shared" si="0"/>
        <v>331.67600000000004</v>
      </c>
    </row>
    <row r="35" spans="1:9" ht="18" x14ac:dyDescent="0.2">
      <c r="A35" s="17">
        <v>45866</v>
      </c>
      <c r="B35" s="19">
        <v>303200</v>
      </c>
      <c r="C35" s="18">
        <v>34</v>
      </c>
      <c r="D35" s="18">
        <v>334.69</v>
      </c>
      <c r="E35" s="1">
        <f t="shared" si="0"/>
        <v>332.46800000000002</v>
      </c>
    </row>
    <row r="36" spans="1:9" ht="18" x14ac:dyDescent="0.2">
      <c r="A36" s="17">
        <v>45867</v>
      </c>
      <c r="B36" s="19">
        <v>236900</v>
      </c>
      <c r="C36" s="18">
        <v>35</v>
      </c>
      <c r="D36" s="18">
        <v>331.6</v>
      </c>
      <c r="E36" s="1">
        <f t="shared" si="0"/>
        <v>333.73</v>
      </c>
    </row>
    <row r="37" spans="1:9" ht="18" x14ac:dyDescent="0.2">
      <c r="A37" s="17">
        <v>45868</v>
      </c>
      <c r="B37" s="19">
        <v>368000</v>
      </c>
      <c r="C37" s="18">
        <v>36</v>
      </c>
      <c r="D37" s="18">
        <v>332.39</v>
      </c>
      <c r="E37" s="1">
        <f>AVERAGE(D32:D36)</f>
        <v>334.43</v>
      </c>
    </row>
    <row r="38" spans="1:9" ht="18" x14ac:dyDescent="0.2">
      <c r="A38" s="17">
        <v>45869</v>
      </c>
      <c r="B38" s="19">
        <v>1351200</v>
      </c>
      <c r="C38" s="18">
        <v>37</v>
      </c>
      <c r="D38" s="18">
        <v>339.02</v>
      </c>
      <c r="E38" s="1">
        <f t="shared" si="0"/>
        <v>333.55399999999997</v>
      </c>
    </row>
    <row r="39" spans="1:9" ht="18" x14ac:dyDescent="0.2">
      <c r="A39" s="17">
        <v>45870</v>
      </c>
      <c r="B39" s="19">
        <v>976400</v>
      </c>
      <c r="C39" s="18">
        <v>38</v>
      </c>
      <c r="D39" s="18">
        <v>335.24</v>
      </c>
      <c r="E39" s="1">
        <f>AVERAGE(D34:D38)</f>
        <v>334.678</v>
      </c>
    </row>
    <row r="40" spans="1:9" x14ac:dyDescent="0.2">
      <c r="E40" s="1"/>
    </row>
    <row r="42" spans="1:9" x14ac:dyDescent="0.2">
      <c r="A42" s="27" t="s">
        <v>58</v>
      </c>
    </row>
    <row r="44" spans="1:9" x14ac:dyDescent="0.2">
      <c r="A44" t="s">
        <v>6</v>
      </c>
      <c r="B44"/>
      <c r="C44"/>
      <c r="D44"/>
      <c r="F44"/>
      <c r="G44"/>
      <c r="H44"/>
      <c r="I44"/>
    </row>
    <row r="45" spans="1:9" ht="17" thickBot="1" x14ac:dyDescent="0.25">
      <c r="A45"/>
      <c r="B45"/>
      <c r="C45"/>
      <c r="D45"/>
      <c r="F45"/>
      <c r="G45"/>
      <c r="H45"/>
      <c r="I45"/>
    </row>
    <row r="46" spans="1:9" x14ac:dyDescent="0.2">
      <c r="A46" s="14" t="s">
        <v>7</v>
      </c>
      <c r="B46" s="14"/>
      <c r="C46"/>
      <c r="D46"/>
      <c r="F46"/>
      <c r="G46"/>
      <c r="H46"/>
      <c r="I46"/>
    </row>
    <row r="47" spans="1:9" x14ac:dyDescent="0.2">
      <c r="A47" t="s">
        <v>8</v>
      </c>
      <c r="B47">
        <v>0.93883010034014858</v>
      </c>
      <c r="C47"/>
      <c r="D47"/>
      <c r="F47"/>
      <c r="G47"/>
      <c r="H47"/>
      <c r="I47"/>
    </row>
    <row r="48" spans="1:9" x14ac:dyDescent="0.2">
      <c r="A48" t="s">
        <v>9</v>
      </c>
      <c r="B48">
        <v>0.88140195730469351</v>
      </c>
      <c r="C48"/>
      <c r="D48"/>
      <c r="F48"/>
      <c r="G48"/>
      <c r="H48"/>
      <c r="I48"/>
    </row>
    <row r="49" spans="1:9" x14ac:dyDescent="0.2">
      <c r="A49" t="s">
        <v>10</v>
      </c>
      <c r="B49">
        <v>0.87810756722982397</v>
      </c>
      <c r="C49"/>
      <c r="D49"/>
      <c r="F49"/>
      <c r="G49"/>
      <c r="H49"/>
      <c r="I49"/>
    </row>
    <row r="50" spans="1:9" x14ac:dyDescent="0.2">
      <c r="A50" t="s">
        <v>11</v>
      </c>
      <c r="B50">
        <v>5.798671688223191</v>
      </c>
      <c r="C50"/>
      <c r="D50"/>
      <c r="F50"/>
      <c r="G50"/>
      <c r="H50"/>
      <c r="I50"/>
    </row>
    <row r="51" spans="1:9" ht="17" thickBot="1" x14ac:dyDescent="0.25">
      <c r="A51" s="12" t="s">
        <v>12</v>
      </c>
      <c r="B51" s="12">
        <v>38</v>
      </c>
      <c r="C51"/>
      <c r="D51"/>
      <c r="F51"/>
      <c r="G51"/>
      <c r="H51"/>
      <c r="I51"/>
    </row>
    <row r="52" spans="1:9" x14ac:dyDescent="0.2">
      <c r="A52"/>
      <c r="B52"/>
      <c r="C52"/>
      <c r="D52"/>
      <c r="F52"/>
      <c r="G52"/>
      <c r="H52"/>
      <c r="I52"/>
    </row>
    <row r="53" spans="1:9" ht="17" thickBot="1" x14ac:dyDescent="0.25">
      <c r="A53" t="s">
        <v>13</v>
      </c>
      <c r="B53"/>
      <c r="C53"/>
      <c r="D53"/>
      <c r="F53"/>
      <c r="G53"/>
      <c r="H53"/>
      <c r="I53"/>
    </row>
    <row r="54" spans="1:9" x14ac:dyDescent="0.2">
      <c r="A54" s="13"/>
      <c r="B54" s="13" t="s">
        <v>18</v>
      </c>
      <c r="C54" s="13" t="s">
        <v>19</v>
      </c>
      <c r="D54" s="13" t="s">
        <v>20</v>
      </c>
      <c r="E54" s="13" t="s">
        <v>21</v>
      </c>
      <c r="F54" s="13" t="s">
        <v>22</v>
      </c>
      <c r="G54"/>
      <c r="H54"/>
      <c r="I54"/>
    </row>
    <row r="55" spans="1:9" x14ac:dyDescent="0.2">
      <c r="A55" t="s">
        <v>14</v>
      </c>
      <c r="B55">
        <v>1</v>
      </c>
      <c r="C55">
        <v>8996.1363763212557</v>
      </c>
      <c r="D55">
        <v>8996.1363763212557</v>
      </c>
      <c r="E55">
        <v>267.54632489583815</v>
      </c>
      <c r="F55">
        <v>3.0203441701524074E-18</v>
      </c>
      <c r="G55"/>
      <c r="H55"/>
      <c r="I55"/>
    </row>
    <row r="56" spans="1:9" x14ac:dyDescent="0.2">
      <c r="A56" t="s">
        <v>15</v>
      </c>
      <c r="B56">
        <v>36</v>
      </c>
      <c r="C56">
        <v>1210.4853605208427</v>
      </c>
      <c r="D56">
        <v>33.624593347801188</v>
      </c>
      <c r="F56"/>
      <c r="G56"/>
      <c r="H56"/>
      <c r="I56"/>
    </row>
    <row r="57" spans="1:9" ht="17" thickBot="1" x14ac:dyDescent="0.25">
      <c r="A57" s="12" t="s">
        <v>16</v>
      </c>
      <c r="B57" s="12">
        <v>37</v>
      </c>
      <c r="C57" s="12">
        <v>10206.621736842098</v>
      </c>
      <c r="D57" s="12"/>
      <c r="E57" s="12"/>
      <c r="F57" s="12"/>
      <c r="G57"/>
      <c r="H57"/>
      <c r="I57"/>
    </row>
    <row r="58" spans="1:9" ht="17" thickBot="1" x14ac:dyDescent="0.25">
      <c r="A58"/>
      <c r="B58"/>
      <c r="C58"/>
      <c r="D58"/>
      <c r="F58"/>
      <c r="G58"/>
      <c r="H58"/>
      <c r="I58"/>
    </row>
    <row r="59" spans="1:9" x14ac:dyDescent="0.2">
      <c r="A59" s="13"/>
      <c r="B59" s="13" t="s">
        <v>23</v>
      </c>
      <c r="C59" s="13" t="s">
        <v>11</v>
      </c>
      <c r="D59" s="13" t="s">
        <v>24</v>
      </c>
      <c r="E59" s="13" t="s">
        <v>25</v>
      </c>
      <c r="F59" s="13" t="s">
        <v>26</v>
      </c>
      <c r="G59" s="13" t="s">
        <v>27</v>
      </c>
      <c r="H59" s="13" t="s">
        <v>28</v>
      </c>
      <c r="I59" s="13" t="s">
        <v>29</v>
      </c>
    </row>
    <row r="60" spans="1:9" x14ac:dyDescent="0.2">
      <c r="A60" t="s">
        <v>17</v>
      </c>
      <c r="B60">
        <v>288.36186344238979</v>
      </c>
      <c r="C60">
        <v>1.9190938798675115</v>
      </c>
      <c r="D60">
        <v>150.25938359112345</v>
      </c>
      <c r="E60">
        <v>5.6989350187045967E-52</v>
      </c>
      <c r="F60">
        <v>284.46976065731218</v>
      </c>
      <c r="G60">
        <v>292.2539662274674</v>
      </c>
      <c r="H60">
        <v>284.46976065731218</v>
      </c>
      <c r="I60">
        <v>292.2539662274674</v>
      </c>
    </row>
    <row r="61" spans="1:9" ht="17" thickBot="1" x14ac:dyDescent="0.25">
      <c r="A61" s="12" t="s">
        <v>34</v>
      </c>
      <c r="B61" s="12">
        <v>1.4031163146952621</v>
      </c>
      <c r="C61" s="12">
        <v>8.5781607325431608E-2</v>
      </c>
      <c r="D61" s="12">
        <v>16.356843365877118</v>
      </c>
      <c r="E61" s="12">
        <v>3.0203441701523855E-18</v>
      </c>
      <c r="F61" s="12">
        <v>1.2291431514840934</v>
      </c>
      <c r="G61" s="12">
        <v>1.5770894779064308</v>
      </c>
      <c r="H61" s="12">
        <v>1.2291431514840934</v>
      </c>
      <c r="I61" s="12">
        <v>1.5770894779064308</v>
      </c>
    </row>
    <row r="62" spans="1:9" x14ac:dyDescent="0.2">
      <c r="A62"/>
      <c r="B62"/>
      <c r="C62"/>
      <c r="D62"/>
      <c r="F62"/>
      <c r="G62"/>
      <c r="H62"/>
      <c r="I62"/>
    </row>
    <row r="63" spans="1:9" x14ac:dyDescent="0.2">
      <c r="A63"/>
      <c r="B63"/>
      <c r="C63"/>
      <c r="D63"/>
      <c r="F63"/>
      <c r="G63"/>
      <c r="H63"/>
      <c r="I63"/>
    </row>
    <row r="64" spans="1:9" x14ac:dyDescent="0.2">
      <c r="A64"/>
      <c r="B64"/>
      <c r="C64"/>
      <c r="D64"/>
      <c r="F64"/>
      <c r="G64"/>
      <c r="H64"/>
      <c r="I64"/>
    </row>
    <row r="65" spans="1:9" x14ac:dyDescent="0.2">
      <c r="A65" t="s">
        <v>30</v>
      </c>
      <c r="B65"/>
      <c r="C65"/>
      <c r="D65"/>
      <c r="F65"/>
      <c r="G65"/>
      <c r="H65"/>
      <c r="I65"/>
    </row>
    <row r="66" spans="1:9" ht="17" thickBot="1" x14ac:dyDescent="0.25">
      <c r="A66"/>
      <c r="B66"/>
      <c r="C66"/>
      <c r="D66"/>
      <c r="F66"/>
      <c r="G66"/>
      <c r="H66"/>
      <c r="I66"/>
    </row>
    <row r="67" spans="1:9" x14ac:dyDescent="0.2">
      <c r="A67" s="13" t="s">
        <v>31</v>
      </c>
      <c r="B67" s="13" t="s">
        <v>35</v>
      </c>
      <c r="C67" s="13" t="s">
        <v>32</v>
      </c>
      <c r="D67" s="13" t="s">
        <v>33</v>
      </c>
      <c r="F67"/>
      <c r="G67"/>
      <c r="H67"/>
      <c r="I67"/>
    </row>
    <row r="68" spans="1:9" x14ac:dyDescent="0.2">
      <c r="A68">
        <v>1</v>
      </c>
      <c r="B68">
        <v>289.76497975708503</v>
      </c>
      <c r="C68">
        <v>8.8650202429149658</v>
      </c>
      <c r="D68">
        <v>1.5498898099213221</v>
      </c>
      <c r="F68"/>
      <c r="G68"/>
      <c r="H68"/>
      <c r="I68"/>
    </row>
    <row r="69" spans="1:9" x14ac:dyDescent="0.2">
      <c r="A69">
        <v>2</v>
      </c>
      <c r="B69">
        <v>291.16809607178033</v>
      </c>
      <c r="C69">
        <v>8.3919039282196763</v>
      </c>
      <c r="D69">
        <v>1.4671739068595322</v>
      </c>
      <c r="F69"/>
      <c r="G69"/>
      <c r="H69"/>
      <c r="I69"/>
    </row>
    <row r="70" spans="1:9" x14ac:dyDescent="0.2">
      <c r="A70">
        <v>3</v>
      </c>
      <c r="B70">
        <v>292.57121238647557</v>
      </c>
      <c r="C70">
        <v>0.2487876135244278</v>
      </c>
      <c r="D70">
        <v>4.3496052628230121E-2</v>
      </c>
      <c r="F70"/>
      <c r="G70"/>
      <c r="H70"/>
      <c r="I70"/>
    </row>
    <row r="71" spans="1:9" x14ac:dyDescent="0.2">
      <c r="A71">
        <v>4</v>
      </c>
      <c r="B71">
        <v>293.97432870117086</v>
      </c>
      <c r="C71">
        <v>-1.2943287011708549</v>
      </c>
      <c r="D71">
        <v>-0.22629016174403904</v>
      </c>
      <c r="F71"/>
      <c r="G71"/>
      <c r="H71"/>
      <c r="I71"/>
    </row>
    <row r="72" spans="1:9" x14ac:dyDescent="0.2">
      <c r="A72">
        <v>5</v>
      </c>
      <c r="B72">
        <v>295.3774450158661</v>
      </c>
      <c r="C72">
        <v>-11.767445015866087</v>
      </c>
      <c r="D72">
        <v>-2.0573267312589083</v>
      </c>
      <c r="F72"/>
      <c r="G72"/>
      <c r="H72"/>
      <c r="I72"/>
    </row>
    <row r="73" spans="1:9" x14ac:dyDescent="0.2">
      <c r="A73">
        <v>6</v>
      </c>
      <c r="B73">
        <v>296.78056133056134</v>
      </c>
      <c r="C73">
        <v>-3.7205613305613383</v>
      </c>
      <c r="D73">
        <v>-0.65047342650265916</v>
      </c>
      <c r="F73"/>
      <c r="G73"/>
      <c r="H73"/>
      <c r="I73"/>
    </row>
    <row r="74" spans="1:9" x14ac:dyDescent="0.2">
      <c r="A74">
        <v>7</v>
      </c>
      <c r="B74">
        <v>298.18367764525664</v>
      </c>
      <c r="C74">
        <v>-8.8236776452566232</v>
      </c>
      <c r="D74">
        <v>-1.5426617981322286</v>
      </c>
      <c r="F74"/>
      <c r="G74"/>
      <c r="H74"/>
      <c r="I74"/>
    </row>
    <row r="75" spans="1:9" x14ac:dyDescent="0.2">
      <c r="A75">
        <v>8</v>
      </c>
      <c r="B75">
        <v>299.58679395995188</v>
      </c>
      <c r="C75">
        <v>-7.8567939599518581</v>
      </c>
      <c r="D75">
        <v>-1.3736195252247638</v>
      </c>
      <c r="F75"/>
      <c r="G75"/>
      <c r="H75"/>
      <c r="I75"/>
    </row>
    <row r="76" spans="1:9" x14ac:dyDescent="0.2">
      <c r="A76">
        <v>9</v>
      </c>
      <c r="B76">
        <v>300.98991027464717</v>
      </c>
      <c r="C76">
        <v>-6.9499102746471522</v>
      </c>
      <c r="D76">
        <v>-1.2150671763160281</v>
      </c>
      <c r="F76"/>
      <c r="G76"/>
      <c r="H76"/>
      <c r="I76"/>
    </row>
    <row r="77" spans="1:9" x14ac:dyDescent="0.2">
      <c r="A77">
        <v>10</v>
      </c>
      <c r="B77">
        <v>302.39302658934241</v>
      </c>
      <c r="C77">
        <v>-6.1430265893424121</v>
      </c>
      <c r="D77">
        <v>-1.0739980340718174</v>
      </c>
      <c r="F77"/>
      <c r="G77"/>
      <c r="H77"/>
      <c r="I77"/>
    </row>
    <row r="78" spans="1:9" x14ac:dyDescent="0.2">
      <c r="A78">
        <v>11</v>
      </c>
      <c r="B78">
        <v>303.79614290403765</v>
      </c>
      <c r="C78">
        <v>-4.8561429040376538</v>
      </c>
      <c r="D78">
        <v>-0.84900949983785512</v>
      </c>
      <c r="F78"/>
      <c r="G78"/>
      <c r="H78"/>
      <c r="I78"/>
    </row>
    <row r="79" spans="1:9" x14ac:dyDescent="0.2">
      <c r="A79">
        <v>12</v>
      </c>
      <c r="B79">
        <v>305.19925921873295</v>
      </c>
      <c r="C79">
        <v>-2.1492592187329365</v>
      </c>
      <c r="D79">
        <v>-0.37575943096756137</v>
      </c>
      <c r="F79"/>
      <c r="G79"/>
      <c r="H79"/>
      <c r="I79"/>
    </row>
    <row r="80" spans="1:9" x14ac:dyDescent="0.2">
      <c r="A80">
        <v>13</v>
      </c>
      <c r="B80">
        <v>306.60237553342819</v>
      </c>
      <c r="C80">
        <v>1.7176244665718059</v>
      </c>
      <c r="D80">
        <v>0.30029583521129516</v>
      </c>
      <c r="F80"/>
      <c r="G80"/>
      <c r="H80"/>
      <c r="I80"/>
    </row>
    <row r="81" spans="1:9" x14ac:dyDescent="0.2">
      <c r="A81">
        <v>14</v>
      </c>
      <c r="B81">
        <v>308.00549184812348</v>
      </c>
      <c r="C81">
        <v>1.2545081518765073</v>
      </c>
      <c r="D81">
        <v>0.21932825281595686</v>
      </c>
      <c r="F81"/>
      <c r="G81"/>
      <c r="H81"/>
      <c r="I81"/>
    </row>
    <row r="82" spans="1:9" x14ac:dyDescent="0.2">
      <c r="A82">
        <v>15</v>
      </c>
      <c r="B82">
        <v>309.40860816281872</v>
      </c>
      <c r="C82">
        <v>-1.0486081628187094</v>
      </c>
      <c r="D82">
        <v>-0.18333033220673556</v>
      </c>
      <c r="F82"/>
      <c r="G82"/>
      <c r="H82"/>
      <c r="I82"/>
    </row>
    <row r="83" spans="1:9" x14ac:dyDescent="0.2">
      <c r="A83">
        <v>16</v>
      </c>
      <c r="B83">
        <v>310.81172447751396</v>
      </c>
      <c r="C83">
        <v>4.6682755224860557</v>
      </c>
      <c r="D83">
        <v>0.81616425726594644</v>
      </c>
      <c r="F83"/>
      <c r="G83"/>
      <c r="H83"/>
      <c r="I83"/>
    </row>
    <row r="84" spans="1:9" x14ac:dyDescent="0.2">
      <c r="A84">
        <v>17</v>
      </c>
      <c r="B84">
        <v>312.21484079220926</v>
      </c>
      <c r="C84">
        <v>8.1751592077907276</v>
      </c>
      <c r="D84">
        <v>1.4292799794524795</v>
      </c>
      <c r="F84"/>
      <c r="G84"/>
      <c r="H84"/>
      <c r="I84"/>
    </row>
    <row r="85" spans="1:9" x14ac:dyDescent="0.2">
      <c r="A85">
        <v>18</v>
      </c>
      <c r="B85">
        <v>313.6179571069045</v>
      </c>
      <c r="C85">
        <v>10.102042893095529</v>
      </c>
      <c r="D85">
        <v>1.7661610363394469</v>
      </c>
      <c r="F85"/>
      <c r="G85"/>
      <c r="H85"/>
      <c r="I85"/>
    </row>
    <row r="86" spans="1:9" x14ac:dyDescent="0.2">
      <c r="A86">
        <v>19</v>
      </c>
      <c r="B86">
        <v>315.02107342159979</v>
      </c>
      <c r="C86">
        <v>2.0889265784002191</v>
      </c>
      <c r="D86">
        <v>0.36521135077202427</v>
      </c>
      <c r="F86"/>
      <c r="G86"/>
      <c r="H86"/>
      <c r="I86"/>
    </row>
    <row r="87" spans="1:9" x14ac:dyDescent="0.2">
      <c r="A87">
        <v>20</v>
      </c>
      <c r="B87">
        <v>316.42418973629503</v>
      </c>
      <c r="C87">
        <v>6.6358102637049683</v>
      </c>
      <c r="D87">
        <v>1.160152422269692</v>
      </c>
      <c r="F87"/>
      <c r="G87"/>
      <c r="H87"/>
      <c r="I87"/>
    </row>
    <row r="88" spans="1:9" x14ac:dyDescent="0.2">
      <c r="A88">
        <v>21</v>
      </c>
      <c r="B88">
        <v>317.82730605099027</v>
      </c>
      <c r="C88">
        <v>3.9526939490096993</v>
      </c>
      <c r="D88">
        <v>0.69105765192177304</v>
      </c>
      <c r="F88"/>
      <c r="G88"/>
      <c r="H88"/>
      <c r="I88"/>
    </row>
    <row r="89" spans="1:9" x14ac:dyDescent="0.2">
      <c r="A89">
        <v>22</v>
      </c>
      <c r="B89">
        <v>319.23042236568557</v>
      </c>
      <c r="C89">
        <v>11.119577634314453</v>
      </c>
      <c r="D89">
        <v>1.9440587380301511</v>
      </c>
      <c r="F89"/>
      <c r="G89"/>
      <c r="H89"/>
      <c r="I89"/>
    </row>
    <row r="90" spans="1:9" x14ac:dyDescent="0.2">
      <c r="A90">
        <v>23</v>
      </c>
      <c r="B90">
        <v>320.63353868038081</v>
      </c>
      <c r="C90">
        <v>6.5064613196191772</v>
      </c>
      <c r="D90">
        <v>1.1375380790567846</v>
      </c>
      <c r="F90"/>
      <c r="G90"/>
      <c r="H90"/>
      <c r="I90"/>
    </row>
    <row r="91" spans="1:9" x14ac:dyDescent="0.2">
      <c r="A91">
        <v>24</v>
      </c>
      <c r="B91">
        <v>322.03665499507611</v>
      </c>
      <c r="C91">
        <v>0.79334500492387861</v>
      </c>
      <c r="D91">
        <v>0.13870214677357448</v>
      </c>
      <c r="F91"/>
      <c r="G91"/>
      <c r="H91"/>
      <c r="I91"/>
    </row>
    <row r="92" spans="1:9" x14ac:dyDescent="0.2">
      <c r="A92">
        <v>25</v>
      </c>
      <c r="B92">
        <v>323.43977130977134</v>
      </c>
      <c r="C92">
        <v>-3.8897713097713336</v>
      </c>
      <c r="D92">
        <v>-0.68005675686495237</v>
      </c>
      <c r="F92"/>
      <c r="G92"/>
      <c r="H92"/>
      <c r="I92"/>
    </row>
    <row r="93" spans="1:9" x14ac:dyDescent="0.2">
      <c r="A93">
        <v>26</v>
      </c>
      <c r="B93">
        <v>324.84288762446658</v>
      </c>
      <c r="C93">
        <v>-5.3728876244665571</v>
      </c>
      <c r="D93">
        <v>-0.93935304723849267</v>
      </c>
      <c r="F93"/>
      <c r="G93"/>
      <c r="H93"/>
      <c r="I93"/>
    </row>
    <row r="94" spans="1:9" x14ac:dyDescent="0.2">
      <c r="A94">
        <v>27</v>
      </c>
      <c r="B94">
        <v>326.24600393916188</v>
      </c>
      <c r="C94">
        <v>3.6539960608380966</v>
      </c>
      <c r="D94">
        <v>0.63883568283014236</v>
      </c>
      <c r="F94"/>
      <c r="G94"/>
      <c r="H94"/>
      <c r="I94"/>
    </row>
    <row r="95" spans="1:9" x14ac:dyDescent="0.2">
      <c r="A95">
        <v>28</v>
      </c>
      <c r="B95">
        <v>327.64912025385712</v>
      </c>
      <c r="C95">
        <v>4.0808797461428981</v>
      </c>
      <c r="D95">
        <v>0.71346863974914654</v>
      </c>
      <c r="F95"/>
      <c r="G95"/>
      <c r="H95"/>
      <c r="I95"/>
    </row>
    <row r="96" spans="1:9" x14ac:dyDescent="0.2">
      <c r="A96">
        <v>29</v>
      </c>
      <c r="B96">
        <v>329.05223656855242</v>
      </c>
      <c r="C96">
        <v>-0.67223656855242098</v>
      </c>
      <c r="D96">
        <v>-0.11752850855457066</v>
      </c>
      <c r="F96"/>
      <c r="G96"/>
      <c r="H96"/>
      <c r="I96"/>
    </row>
    <row r="97" spans="1:9" x14ac:dyDescent="0.2">
      <c r="A97">
        <v>30</v>
      </c>
      <c r="B97">
        <v>330.45535288324766</v>
      </c>
      <c r="C97">
        <v>-2.3553528832476331</v>
      </c>
      <c r="D97">
        <v>-0.41179121225717075</v>
      </c>
      <c r="F97"/>
      <c r="G97"/>
      <c r="H97"/>
      <c r="I97"/>
    </row>
    <row r="98" spans="1:9" x14ac:dyDescent="0.2">
      <c r="A98">
        <v>31</v>
      </c>
      <c r="B98">
        <v>331.8584691979429</v>
      </c>
      <c r="C98">
        <v>4.9115308020570865</v>
      </c>
      <c r="D98">
        <v>0.85869308051573212</v>
      </c>
      <c r="F98"/>
      <c r="G98"/>
      <c r="H98"/>
      <c r="I98"/>
    </row>
    <row r="99" spans="1:9" x14ac:dyDescent="0.2">
      <c r="A99">
        <v>32</v>
      </c>
      <c r="B99">
        <v>333.26158551263819</v>
      </c>
      <c r="C99">
        <v>0.13841448736178563</v>
      </c>
      <c r="D99">
        <v>2.4199290879111976E-2</v>
      </c>
      <c r="F99"/>
      <c r="G99"/>
      <c r="H99"/>
      <c r="I99"/>
    </row>
    <row r="100" spans="1:9" x14ac:dyDescent="0.2">
      <c r="A100">
        <v>33</v>
      </c>
      <c r="B100">
        <v>334.66470182733343</v>
      </c>
      <c r="C100">
        <v>1.0252981726665666</v>
      </c>
      <c r="D100">
        <v>0.17925499845495466</v>
      </c>
      <c r="F100"/>
      <c r="G100"/>
      <c r="H100"/>
      <c r="I100"/>
    </row>
    <row r="101" spans="1:9" x14ac:dyDescent="0.2">
      <c r="A101">
        <v>34</v>
      </c>
      <c r="B101">
        <v>336.06781814202873</v>
      </c>
      <c r="C101">
        <v>-1.3778181420287297</v>
      </c>
      <c r="D101">
        <v>-0.2408867932322826</v>
      </c>
      <c r="F101"/>
      <c r="G101"/>
      <c r="H101"/>
      <c r="I101"/>
    </row>
    <row r="102" spans="1:9" x14ac:dyDescent="0.2">
      <c r="A102">
        <v>35</v>
      </c>
      <c r="B102">
        <v>337.47093445672397</v>
      </c>
      <c r="C102">
        <v>-5.8709344567239441</v>
      </c>
      <c r="D102">
        <v>-1.0264276042082012</v>
      </c>
      <c r="F102"/>
      <c r="G102"/>
      <c r="H102"/>
      <c r="I102"/>
    </row>
    <row r="103" spans="1:9" x14ac:dyDescent="0.2">
      <c r="A103">
        <v>36</v>
      </c>
      <c r="B103">
        <v>338.87405077141921</v>
      </c>
      <c r="C103">
        <v>-6.4840507714192199</v>
      </c>
      <c r="D103">
        <v>-1.1336199966003317</v>
      </c>
      <c r="F103"/>
      <c r="G103"/>
      <c r="H103"/>
      <c r="I103"/>
    </row>
    <row r="104" spans="1:9" x14ac:dyDescent="0.2">
      <c r="A104">
        <v>37</v>
      </c>
      <c r="B104">
        <v>340.2771670861145</v>
      </c>
      <c r="C104">
        <v>-1.2571670861145208</v>
      </c>
      <c r="D104">
        <v>-0.21979311978386273</v>
      </c>
      <c r="F104"/>
      <c r="G104"/>
      <c r="H104"/>
      <c r="I104"/>
    </row>
    <row r="105" spans="1:9" ht="17" thickBot="1" x14ac:dyDescent="0.25">
      <c r="A105" s="12">
        <v>38</v>
      </c>
      <c r="B105" s="12">
        <v>341.68028340080974</v>
      </c>
      <c r="C105" s="12">
        <v>-6.4402834008097329</v>
      </c>
      <c r="D105" s="12">
        <v>-1.1259680567450441</v>
      </c>
      <c r="F105"/>
      <c r="G105"/>
      <c r="H105"/>
      <c r="I105"/>
    </row>
    <row r="108" spans="1:9" x14ac:dyDescent="0.2">
      <c r="A108" s="15" t="s">
        <v>90</v>
      </c>
    </row>
    <row r="109" spans="1:9" x14ac:dyDescent="0.2">
      <c r="A109" s="16" t="s">
        <v>53</v>
      </c>
      <c r="B109" s="16" t="s">
        <v>54</v>
      </c>
      <c r="C109" s="16" t="s">
        <v>63</v>
      </c>
      <c r="D109" s="16" t="s">
        <v>64</v>
      </c>
    </row>
    <row r="110" spans="1:9" x14ac:dyDescent="0.2">
      <c r="A110" s="26">
        <v>45873</v>
      </c>
      <c r="B110" s="20">
        <v>1032600</v>
      </c>
      <c r="C110" s="16">
        <v>337.86</v>
      </c>
      <c r="D110" s="16">
        <v>341.36</v>
      </c>
    </row>
    <row r="111" spans="1:9" x14ac:dyDescent="0.2">
      <c r="A111" s="26">
        <v>45874</v>
      </c>
      <c r="B111" s="20">
        <v>2001700</v>
      </c>
      <c r="C111" s="16">
        <v>350.64</v>
      </c>
      <c r="D111" s="16">
        <v>302.60000000000002</v>
      </c>
    </row>
    <row r="112" spans="1:9" x14ac:dyDescent="0.2">
      <c r="A112" s="26">
        <v>45875</v>
      </c>
      <c r="B112" s="20">
        <v>1127500</v>
      </c>
      <c r="C112" s="16">
        <v>303.01</v>
      </c>
      <c r="D112" s="16">
        <v>308.31</v>
      </c>
    </row>
    <row r="113" spans="1:4" x14ac:dyDescent="0.2">
      <c r="A113" s="26">
        <v>45876</v>
      </c>
      <c r="B113" s="20">
        <v>786100</v>
      </c>
      <c r="C113" s="16">
        <v>313.05</v>
      </c>
      <c r="D113" s="16">
        <v>316.01</v>
      </c>
    </row>
    <row r="114" spans="1:4" x14ac:dyDescent="0.2">
      <c r="A114" s="26">
        <v>45877</v>
      </c>
      <c r="B114" s="20">
        <v>612500</v>
      </c>
      <c r="C114" s="16">
        <v>319.02999999999997</v>
      </c>
      <c r="D114" s="16">
        <v>317.66000000000003</v>
      </c>
    </row>
    <row r="115" spans="1:4" x14ac:dyDescent="0.2">
      <c r="A115" s="26">
        <v>45880</v>
      </c>
      <c r="B115" s="20">
        <v>535600</v>
      </c>
      <c r="C115" s="16">
        <v>317.95</v>
      </c>
      <c r="D115" s="16">
        <v>312.45</v>
      </c>
    </row>
    <row r="116" spans="1:4" x14ac:dyDescent="0.2">
      <c r="A116" s="26">
        <v>45881</v>
      </c>
      <c r="B116" s="20">
        <v>628400</v>
      </c>
      <c r="C116" s="16">
        <v>315.82</v>
      </c>
      <c r="D116" s="16">
        <v>328.14</v>
      </c>
    </row>
    <row r="117" spans="1:4" x14ac:dyDescent="0.2">
      <c r="A117" s="26">
        <v>45882</v>
      </c>
      <c r="B117" s="20">
        <v>539200</v>
      </c>
      <c r="C117" s="16">
        <v>329.65</v>
      </c>
      <c r="D117" s="16">
        <v>337.8</v>
      </c>
    </row>
    <row r="118" spans="1:4" x14ac:dyDescent="0.2">
      <c r="A118" s="26">
        <v>45883</v>
      </c>
      <c r="B118" s="20">
        <v>604800</v>
      </c>
      <c r="C118" s="16">
        <v>334.92</v>
      </c>
      <c r="D118" s="16">
        <v>327.71</v>
      </c>
    </row>
    <row r="119" spans="1:4" x14ac:dyDescent="0.2">
      <c r="A119" s="26">
        <v>45884</v>
      </c>
      <c r="B119" s="20">
        <v>523900</v>
      </c>
      <c r="C119" s="16">
        <v>327.98</v>
      </c>
      <c r="D119" s="16">
        <v>317.89999999999998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9400-1AED-E94F-9FD3-356FE25625C8}">
  <dimension ref="A1:I119"/>
  <sheetViews>
    <sheetView topLeftCell="A96" workbookViewId="0">
      <selection activeCell="H106" sqref="H106"/>
    </sheetView>
  </sheetViews>
  <sheetFormatPr baseColWidth="10" defaultRowHeight="16" x14ac:dyDescent="0.2"/>
  <cols>
    <col min="1" max="7" width="10.83203125" style="1"/>
    <col min="10" max="16384" width="10.83203125" style="1"/>
  </cols>
  <sheetData>
    <row r="1" spans="1:9" x14ac:dyDescent="0.2">
      <c r="A1" s="16" t="s">
        <v>53</v>
      </c>
      <c r="B1" s="16" t="s">
        <v>54</v>
      </c>
      <c r="C1" s="1" t="s">
        <v>34</v>
      </c>
      <c r="D1" s="16" t="s">
        <v>55</v>
      </c>
      <c r="E1" s="1" t="s">
        <v>56</v>
      </c>
      <c r="F1" s="1" t="s">
        <v>57</v>
      </c>
      <c r="G1" s="16"/>
      <c r="H1" s="1"/>
      <c r="I1" s="1"/>
    </row>
    <row r="2" spans="1:9" ht="18" x14ac:dyDescent="0.2">
      <c r="A2" s="17">
        <v>45817</v>
      </c>
      <c r="B2" s="19">
        <v>887300</v>
      </c>
      <c r="C2" s="1">
        <v>1</v>
      </c>
      <c r="D2" s="18">
        <v>49.3</v>
      </c>
      <c r="F2" s="1" cm="1">
        <f t="array" ref="F2">SUMPRODUCT(--(D7:D39&gt;E7:E39))/33</f>
        <v>0.66666666666666663</v>
      </c>
      <c r="G2" s="18"/>
      <c r="H2" s="1"/>
      <c r="I2" s="1"/>
    </row>
    <row r="3" spans="1:9" ht="18" x14ac:dyDescent="0.2">
      <c r="A3" s="17">
        <v>45818</v>
      </c>
      <c r="B3" s="19">
        <v>934600</v>
      </c>
      <c r="C3" s="1">
        <v>2</v>
      </c>
      <c r="D3" s="18">
        <v>49.8</v>
      </c>
      <c r="E3" s="18"/>
      <c r="F3" s="18"/>
      <c r="G3" s="18"/>
      <c r="H3" s="1"/>
      <c r="I3" s="1"/>
    </row>
    <row r="4" spans="1:9" ht="18" x14ac:dyDescent="0.2">
      <c r="A4" s="17">
        <v>45819</v>
      </c>
      <c r="B4" s="19">
        <v>1500200</v>
      </c>
      <c r="C4" s="1">
        <v>3</v>
      </c>
      <c r="D4" s="18">
        <v>48.91</v>
      </c>
      <c r="E4" s="18"/>
      <c r="F4" s="18"/>
      <c r="G4" s="18"/>
      <c r="H4" s="1"/>
      <c r="I4" s="1"/>
    </row>
    <row r="5" spans="1:9" ht="18" x14ac:dyDescent="0.2">
      <c r="A5" s="17">
        <v>45820</v>
      </c>
      <c r="B5" s="19">
        <v>987400</v>
      </c>
      <c r="C5" s="1">
        <v>4</v>
      </c>
      <c r="D5" s="18">
        <v>48.72</v>
      </c>
      <c r="E5" s="18"/>
      <c r="F5" s="18"/>
      <c r="G5" s="18"/>
      <c r="H5" s="1"/>
      <c r="I5" s="1"/>
    </row>
    <row r="6" spans="1:9" ht="18" x14ac:dyDescent="0.2">
      <c r="A6" s="17">
        <v>45821</v>
      </c>
      <c r="B6" s="19">
        <v>1093100</v>
      </c>
      <c r="C6" s="1">
        <v>5</v>
      </c>
      <c r="D6" s="18">
        <v>47.43</v>
      </c>
      <c r="E6" s="18"/>
      <c r="F6" s="18"/>
      <c r="G6" s="18"/>
      <c r="H6" s="1"/>
      <c r="I6" s="1"/>
    </row>
    <row r="7" spans="1:9" ht="18" x14ac:dyDescent="0.2">
      <c r="A7" s="17">
        <v>45824</v>
      </c>
      <c r="B7" s="19">
        <v>1119900</v>
      </c>
      <c r="C7" s="1">
        <v>6</v>
      </c>
      <c r="D7" s="18">
        <v>47.85</v>
      </c>
      <c r="E7" s="18">
        <f>AVERAGE(D2:D6)</f>
        <v>48.832000000000001</v>
      </c>
      <c r="F7" s="18"/>
      <c r="G7" s="18"/>
      <c r="H7" s="1"/>
      <c r="I7" s="1"/>
    </row>
    <row r="8" spans="1:9" ht="18" x14ac:dyDescent="0.2">
      <c r="A8" s="17">
        <v>45825</v>
      </c>
      <c r="B8" s="19">
        <v>1590500</v>
      </c>
      <c r="C8" s="1">
        <v>7</v>
      </c>
      <c r="D8" s="18">
        <v>47.28</v>
      </c>
      <c r="E8" s="18">
        <f t="shared" ref="E8:E39" si="0">AVERAGE(D3:D7)</f>
        <v>48.542000000000002</v>
      </c>
      <c r="F8" s="18"/>
      <c r="G8" s="18"/>
      <c r="H8" s="1"/>
      <c r="I8" s="1"/>
    </row>
    <row r="9" spans="1:9" ht="18" x14ac:dyDescent="0.2">
      <c r="A9" s="17">
        <v>45826</v>
      </c>
      <c r="B9" s="19">
        <v>1601600</v>
      </c>
      <c r="C9" s="1">
        <v>8</v>
      </c>
      <c r="D9" s="18">
        <v>48.33</v>
      </c>
      <c r="E9" s="18">
        <f t="shared" si="0"/>
        <v>48.037999999999997</v>
      </c>
      <c r="F9" s="18"/>
      <c r="G9" s="18"/>
      <c r="H9" s="1"/>
      <c r="I9" s="1"/>
    </row>
    <row r="10" spans="1:9" ht="18" x14ac:dyDescent="0.2">
      <c r="A10" s="17">
        <v>45828</v>
      </c>
      <c r="B10" s="19">
        <v>1483700</v>
      </c>
      <c r="C10" s="1">
        <v>9</v>
      </c>
      <c r="D10" s="18">
        <v>48.58</v>
      </c>
      <c r="E10" s="18">
        <f t="shared" si="0"/>
        <v>47.922000000000004</v>
      </c>
      <c r="F10" s="18"/>
      <c r="G10" s="18"/>
      <c r="H10" s="1"/>
      <c r="I10" s="1"/>
    </row>
    <row r="11" spans="1:9" ht="18" x14ac:dyDescent="0.2">
      <c r="A11" s="17">
        <v>45831</v>
      </c>
      <c r="B11" s="19">
        <v>1208000</v>
      </c>
      <c r="C11" s="1">
        <v>10</v>
      </c>
      <c r="D11" s="18">
        <v>49.47</v>
      </c>
      <c r="E11" s="18">
        <f t="shared" si="0"/>
        <v>47.893999999999991</v>
      </c>
      <c r="F11" s="18"/>
      <c r="G11" s="18"/>
      <c r="H11" s="1"/>
      <c r="I11" s="1"/>
    </row>
    <row r="12" spans="1:9" ht="18" x14ac:dyDescent="0.2">
      <c r="A12" s="17">
        <v>45832</v>
      </c>
      <c r="B12" s="19">
        <v>986000</v>
      </c>
      <c r="C12" s="1">
        <v>11</v>
      </c>
      <c r="D12" s="18">
        <v>50.09</v>
      </c>
      <c r="E12" s="18">
        <f t="shared" si="0"/>
        <v>48.301999999999992</v>
      </c>
      <c r="F12" s="18"/>
      <c r="G12" s="18"/>
      <c r="H12" s="1"/>
      <c r="I12" s="1"/>
    </row>
    <row r="13" spans="1:9" ht="18" x14ac:dyDescent="0.2">
      <c r="A13" s="17">
        <v>45833</v>
      </c>
      <c r="B13" s="19">
        <v>662900</v>
      </c>
      <c r="C13" s="1">
        <v>12</v>
      </c>
      <c r="D13" s="18">
        <v>50.13</v>
      </c>
      <c r="E13" s="18">
        <f t="shared" si="0"/>
        <v>48.75</v>
      </c>
      <c r="F13" s="18"/>
      <c r="G13" s="18"/>
      <c r="H13" s="1"/>
      <c r="I13" s="1"/>
    </row>
    <row r="14" spans="1:9" ht="18" x14ac:dyDescent="0.2">
      <c r="A14" s="17">
        <v>45834</v>
      </c>
      <c r="B14" s="19">
        <v>1021900</v>
      </c>
      <c r="C14" s="1">
        <v>13</v>
      </c>
      <c r="D14" s="18">
        <v>51.4</v>
      </c>
      <c r="E14" s="18">
        <f>AVERAGE(D9:D13)</f>
        <v>49.32</v>
      </c>
      <c r="F14" s="18"/>
      <c r="G14" s="18"/>
      <c r="H14" s="1"/>
      <c r="I14" s="1"/>
    </row>
    <row r="15" spans="1:9" ht="18" x14ac:dyDescent="0.2">
      <c r="A15" s="17">
        <v>45835</v>
      </c>
      <c r="B15" s="19">
        <v>1556900</v>
      </c>
      <c r="C15" s="1">
        <v>14</v>
      </c>
      <c r="D15" s="18">
        <v>51.47</v>
      </c>
      <c r="E15" s="18">
        <f t="shared" si="0"/>
        <v>49.933999999999997</v>
      </c>
      <c r="F15" s="18"/>
      <c r="G15" s="18"/>
      <c r="H15" s="1"/>
      <c r="I15" s="1"/>
    </row>
    <row r="16" spans="1:9" ht="18" x14ac:dyDescent="0.2">
      <c r="A16" s="17">
        <v>45838</v>
      </c>
      <c r="B16" s="19">
        <v>1174800</v>
      </c>
      <c r="C16" s="1">
        <v>15</v>
      </c>
      <c r="D16" s="18">
        <v>51.94</v>
      </c>
      <c r="E16" s="18">
        <f t="shared" si="0"/>
        <v>50.512</v>
      </c>
      <c r="F16" s="18"/>
      <c r="G16" s="18"/>
      <c r="H16" s="1"/>
      <c r="I16" s="1"/>
    </row>
    <row r="17" spans="1:9" ht="18" x14ac:dyDescent="0.2">
      <c r="A17" s="17">
        <v>45839</v>
      </c>
      <c r="B17" s="19">
        <v>1965200</v>
      </c>
      <c r="C17" s="1">
        <v>16</v>
      </c>
      <c r="D17" s="18">
        <v>53.75</v>
      </c>
      <c r="E17" s="18">
        <f t="shared" si="0"/>
        <v>51.006</v>
      </c>
      <c r="F17" s="18"/>
      <c r="G17" s="18"/>
      <c r="H17" s="1"/>
      <c r="I17" s="1"/>
    </row>
    <row r="18" spans="1:9" ht="18" x14ac:dyDescent="0.2">
      <c r="A18" s="17">
        <v>45840</v>
      </c>
      <c r="B18" s="19">
        <v>1421100</v>
      </c>
      <c r="C18" s="1">
        <v>17</v>
      </c>
      <c r="D18" s="18">
        <v>54.77</v>
      </c>
      <c r="E18" s="18">
        <f t="shared" si="0"/>
        <v>51.738</v>
      </c>
      <c r="F18" s="18"/>
      <c r="G18" s="18"/>
      <c r="H18" s="1"/>
      <c r="I18" s="1"/>
    </row>
    <row r="19" spans="1:9" ht="18" x14ac:dyDescent="0.2">
      <c r="A19" s="17">
        <v>45841</v>
      </c>
      <c r="B19" s="19">
        <v>1082800</v>
      </c>
      <c r="C19" s="1">
        <v>18</v>
      </c>
      <c r="D19" s="18">
        <v>55.5</v>
      </c>
      <c r="E19" s="18">
        <f t="shared" si="0"/>
        <v>52.665999999999997</v>
      </c>
      <c r="F19" s="18"/>
      <c r="G19" s="18"/>
      <c r="H19" s="1"/>
      <c r="I19" s="1"/>
    </row>
    <row r="20" spans="1:9" ht="18" x14ac:dyDescent="0.2">
      <c r="A20" s="17">
        <v>45845</v>
      </c>
      <c r="B20" s="19">
        <v>1550700</v>
      </c>
      <c r="C20" s="1">
        <v>19</v>
      </c>
      <c r="D20" s="18">
        <v>55.16</v>
      </c>
      <c r="E20" s="18">
        <f t="shared" si="0"/>
        <v>53.486000000000004</v>
      </c>
      <c r="F20" s="18"/>
      <c r="G20" s="18"/>
      <c r="H20" s="1"/>
      <c r="I20" s="1"/>
    </row>
    <row r="21" spans="1:9" ht="18" x14ac:dyDescent="0.2">
      <c r="A21" s="17">
        <v>45846</v>
      </c>
      <c r="B21" s="19">
        <v>1739600</v>
      </c>
      <c r="C21" s="1">
        <v>20</v>
      </c>
      <c r="D21" s="18">
        <v>55.55</v>
      </c>
      <c r="E21" s="18">
        <f t="shared" si="0"/>
        <v>54.224000000000004</v>
      </c>
      <c r="F21" s="18"/>
      <c r="G21" s="18"/>
      <c r="H21" s="1"/>
      <c r="I21" s="1"/>
    </row>
    <row r="22" spans="1:9" ht="18" x14ac:dyDescent="0.2">
      <c r="A22" s="17">
        <v>45847</v>
      </c>
      <c r="B22" s="19">
        <v>1060900</v>
      </c>
      <c r="C22" s="1">
        <v>21</v>
      </c>
      <c r="D22" s="18">
        <v>55.65</v>
      </c>
      <c r="E22" s="18">
        <f t="shared" si="0"/>
        <v>54.946000000000005</v>
      </c>
      <c r="F22" s="18"/>
      <c r="G22" s="18"/>
      <c r="H22" s="1"/>
      <c r="I22" s="1"/>
    </row>
    <row r="23" spans="1:9" ht="18" x14ac:dyDescent="0.2">
      <c r="A23" s="17">
        <v>45848</v>
      </c>
      <c r="B23" s="19">
        <v>2220900</v>
      </c>
      <c r="C23" s="1">
        <v>22</v>
      </c>
      <c r="D23" s="18">
        <v>56.3</v>
      </c>
      <c r="E23" s="18">
        <f t="shared" si="0"/>
        <v>55.326000000000001</v>
      </c>
      <c r="F23" s="18"/>
      <c r="G23" s="18"/>
      <c r="H23" s="1"/>
      <c r="I23" s="1"/>
    </row>
    <row r="24" spans="1:9" ht="18" x14ac:dyDescent="0.2">
      <c r="A24" s="17">
        <v>45849</v>
      </c>
      <c r="B24" s="19">
        <v>1306000</v>
      </c>
      <c r="C24" s="1">
        <v>23</v>
      </c>
      <c r="D24" s="18">
        <v>56.2</v>
      </c>
      <c r="E24" s="18">
        <f t="shared" si="0"/>
        <v>55.631999999999991</v>
      </c>
      <c r="F24" s="18"/>
      <c r="G24" s="18"/>
      <c r="H24" s="1"/>
      <c r="I24" s="1"/>
    </row>
    <row r="25" spans="1:9" ht="18" x14ac:dyDescent="0.2">
      <c r="A25" s="17">
        <v>45852</v>
      </c>
      <c r="B25" s="19">
        <v>1738200</v>
      </c>
      <c r="C25" s="1">
        <v>24</v>
      </c>
      <c r="D25" s="18">
        <v>56.92</v>
      </c>
      <c r="E25" s="18">
        <f t="shared" si="0"/>
        <v>55.771999999999991</v>
      </c>
      <c r="F25" s="18"/>
      <c r="G25" s="18"/>
      <c r="H25" s="1"/>
      <c r="I25" s="1"/>
    </row>
    <row r="26" spans="1:9" ht="18" x14ac:dyDescent="0.2">
      <c r="A26" s="17">
        <v>45853</v>
      </c>
      <c r="B26" s="19">
        <v>1322900</v>
      </c>
      <c r="C26" s="1">
        <v>25</v>
      </c>
      <c r="D26" s="18">
        <v>54.54</v>
      </c>
      <c r="E26" s="18">
        <f t="shared" si="0"/>
        <v>56.124000000000002</v>
      </c>
      <c r="F26" s="18"/>
      <c r="G26" s="18"/>
      <c r="H26" s="1"/>
      <c r="I26" s="1"/>
    </row>
    <row r="27" spans="1:9" ht="18" x14ac:dyDescent="0.2">
      <c r="A27" s="17">
        <v>45854</v>
      </c>
      <c r="B27" s="19">
        <v>1057300</v>
      </c>
      <c r="C27" s="1">
        <v>26</v>
      </c>
      <c r="D27" s="18">
        <v>55.1</v>
      </c>
      <c r="E27" s="18">
        <f t="shared" si="0"/>
        <v>55.922000000000004</v>
      </c>
      <c r="F27" s="18"/>
      <c r="G27" s="18"/>
      <c r="H27" s="1"/>
      <c r="I27" s="1"/>
    </row>
    <row r="28" spans="1:9" ht="18" x14ac:dyDescent="0.2">
      <c r="A28" s="17">
        <v>45855</v>
      </c>
      <c r="B28" s="19">
        <v>1227800</v>
      </c>
      <c r="C28" s="1">
        <v>27</v>
      </c>
      <c r="D28" s="18">
        <v>56.41</v>
      </c>
      <c r="E28" s="18">
        <f t="shared" si="0"/>
        <v>55.811999999999998</v>
      </c>
      <c r="F28" s="18"/>
      <c r="G28" s="18"/>
      <c r="H28" s="1"/>
      <c r="I28" s="1"/>
    </row>
    <row r="29" spans="1:9" ht="18" x14ac:dyDescent="0.2">
      <c r="A29" s="17">
        <v>45856</v>
      </c>
      <c r="B29" s="19">
        <v>1377500</v>
      </c>
      <c r="C29" s="1">
        <v>28</v>
      </c>
      <c r="D29" s="18">
        <v>56.8</v>
      </c>
      <c r="E29" s="18">
        <f t="shared" si="0"/>
        <v>55.833999999999989</v>
      </c>
      <c r="F29" s="18"/>
      <c r="G29" s="18"/>
      <c r="H29" s="1"/>
      <c r="I29" s="1"/>
    </row>
    <row r="30" spans="1:9" ht="18" x14ac:dyDescent="0.2">
      <c r="A30" s="17">
        <v>45859</v>
      </c>
      <c r="B30" s="19">
        <v>2251500</v>
      </c>
      <c r="C30" s="1">
        <v>29</v>
      </c>
      <c r="D30" s="18">
        <v>56.59</v>
      </c>
      <c r="E30" s="18">
        <f t="shared" si="0"/>
        <v>55.953999999999994</v>
      </c>
      <c r="F30" s="18"/>
      <c r="G30" s="18"/>
      <c r="H30" s="1"/>
      <c r="I30" s="1"/>
    </row>
    <row r="31" spans="1:9" ht="18" x14ac:dyDescent="0.2">
      <c r="A31" s="17">
        <v>45860</v>
      </c>
      <c r="B31" s="19">
        <v>3964300</v>
      </c>
      <c r="C31" s="1">
        <v>30</v>
      </c>
      <c r="D31" s="18">
        <v>56.85</v>
      </c>
      <c r="E31" s="18">
        <f t="shared" si="0"/>
        <v>55.888000000000012</v>
      </c>
      <c r="F31" s="18"/>
      <c r="G31" s="18"/>
      <c r="H31" s="1"/>
      <c r="I31" s="1"/>
    </row>
    <row r="32" spans="1:9" ht="18" x14ac:dyDescent="0.2">
      <c r="A32" s="17">
        <v>45861</v>
      </c>
      <c r="B32" s="19">
        <v>1669800</v>
      </c>
      <c r="C32" s="1">
        <v>31</v>
      </c>
      <c r="D32" s="18">
        <v>56.54</v>
      </c>
      <c r="E32" s="18">
        <f t="shared" si="0"/>
        <v>56.35</v>
      </c>
      <c r="F32" s="18"/>
      <c r="G32" s="18"/>
      <c r="H32" s="1"/>
      <c r="I32" s="1"/>
    </row>
    <row r="33" spans="1:9" ht="18" x14ac:dyDescent="0.2">
      <c r="A33" s="17">
        <v>45862</v>
      </c>
      <c r="B33" s="19">
        <v>2086900</v>
      </c>
      <c r="C33" s="1">
        <v>32</v>
      </c>
      <c r="D33" s="18">
        <v>55.18</v>
      </c>
      <c r="E33" s="18">
        <f t="shared" si="0"/>
        <v>56.637999999999998</v>
      </c>
      <c r="F33" s="18"/>
      <c r="G33" s="18"/>
      <c r="H33" s="1"/>
      <c r="I33" s="1"/>
    </row>
    <row r="34" spans="1:9" ht="18" x14ac:dyDescent="0.2">
      <c r="A34" s="17">
        <v>45863</v>
      </c>
      <c r="B34" s="19">
        <v>1806900</v>
      </c>
      <c r="C34" s="1">
        <v>33</v>
      </c>
      <c r="D34" s="18">
        <v>55.38</v>
      </c>
      <c r="E34" s="18">
        <f t="shared" si="0"/>
        <v>56.391999999999996</v>
      </c>
      <c r="F34" s="18"/>
      <c r="G34" s="18"/>
      <c r="H34" s="1"/>
      <c r="I34" s="1"/>
    </row>
    <row r="35" spans="1:9" ht="18" x14ac:dyDescent="0.2">
      <c r="A35" s="17">
        <v>45866</v>
      </c>
      <c r="B35" s="19">
        <v>1020400</v>
      </c>
      <c r="C35" s="1">
        <v>34</v>
      </c>
      <c r="D35" s="18">
        <v>55.36</v>
      </c>
      <c r="E35" s="18">
        <f t="shared" si="0"/>
        <v>56.108000000000004</v>
      </c>
      <c r="F35" s="18"/>
      <c r="G35" s="18"/>
      <c r="H35" s="1"/>
      <c r="I35" s="1"/>
    </row>
    <row r="36" spans="1:9" ht="18" x14ac:dyDescent="0.2">
      <c r="A36" s="17">
        <v>45867</v>
      </c>
      <c r="B36" s="19">
        <v>942000</v>
      </c>
      <c r="C36" s="1">
        <v>35</v>
      </c>
      <c r="D36" s="18">
        <v>54.77</v>
      </c>
      <c r="E36" s="18">
        <f t="shared" si="0"/>
        <v>55.862000000000002</v>
      </c>
      <c r="F36" s="18"/>
      <c r="G36" s="18"/>
      <c r="H36" s="1"/>
      <c r="I36" s="1"/>
    </row>
    <row r="37" spans="1:9" ht="18" x14ac:dyDescent="0.2">
      <c r="A37" s="17">
        <v>45868</v>
      </c>
      <c r="B37" s="19">
        <v>1276000</v>
      </c>
      <c r="C37" s="1">
        <v>36</v>
      </c>
      <c r="D37" s="18">
        <v>54.21</v>
      </c>
      <c r="E37" s="18">
        <f t="shared" si="0"/>
        <v>55.445999999999991</v>
      </c>
      <c r="F37" s="18"/>
      <c r="G37" s="18"/>
      <c r="H37" s="1"/>
      <c r="I37" s="1"/>
    </row>
    <row r="38" spans="1:9" ht="18" x14ac:dyDescent="0.2">
      <c r="A38" s="17">
        <v>45869</v>
      </c>
      <c r="B38" s="19">
        <v>1357500</v>
      </c>
      <c r="C38" s="1">
        <v>37</v>
      </c>
      <c r="D38" s="18">
        <v>53.62</v>
      </c>
      <c r="E38" s="18">
        <f t="shared" si="0"/>
        <v>54.980000000000004</v>
      </c>
      <c r="F38" s="18"/>
      <c r="G38" s="18"/>
      <c r="H38" s="1"/>
      <c r="I38" s="1"/>
    </row>
    <row r="39" spans="1:9" ht="18" x14ac:dyDescent="0.2">
      <c r="A39" s="17">
        <v>45870</v>
      </c>
      <c r="B39" s="19">
        <v>1451100</v>
      </c>
      <c r="C39" s="1">
        <v>38</v>
      </c>
      <c r="D39" s="18">
        <v>52.08</v>
      </c>
      <c r="E39" s="18">
        <f>AVERAGE(D34:D38)</f>
        <v>54.668000000000006</v>
      </c>
      <c r="F39" s="18"/>
      <c r="G39" s="18"/>
      <c r="H39" s="1"/>
      <c r="I39" s="1"/>
    </row>
    <row r="42" spans="1:9" x14ac:dyDescent="0.2">
      <c r="A42" s="27" t="s">
        <v>65</v>
      </c>
    </row>
    <row r="44" spans="1:9" x14ac:dyDescent="0.2">
      <c r="A44" t="s">
        <v>6</v>
      </c>
      <c r="B44"/>
      <c r="C44"/>
      <c r="D44"/>
      <c r="E44"/>
      <c r="F44"/>
      <c r="G44"/>
    </row>
    <row r="45" spans="1:9" ht="17" thickBot="1" x14ac:dyDescent="0.25">
      <c r="A45"/>
      <c r="B45"/>
      <c r="C45"/>
      <c r="D45"/>
      <c r="E45"/>
      <c r="F45"/>
      <c r="G45"/>
    </row>
    <row r="46" spans="1:9" x14ac:dyDescent="0.2">
      <c r="A46" s="31" t="s">
        <v>7</v>
      </c>
      <c r="B46" s="31"/>
      <c r="C46"/>
      <c r="D46"/>
      <c r="E46"/>
      <c r="F46"/>
      <c r="G46"/>
    </row>
    <row r="47" spans="1:9" x14ac:dyDescent="0.2">
      <c r="A47" s="28" t="s">
        <v>8</v>
      </c>
      <c r="B47" s="28">
        <v>0.78685151422673216</v>
      </c>
      <c r="C47"/>
      <c r="D47"/>
      <c r="E47"/>
      <c r="F47"/>
      <c r="G47"/>
    </row>
    <row r="48" spans="1:9" x14ac:dyDescent="0.2">
      <c r="A48" s="28" t="s">
        <v>9</v>
      </c>
      <c r="B48" s="28">
        <v>0.61913530544090134</v>
      </c>
      <c r="C48"/>
      <c r="D48"/>
      <c r="E48"/>
      <c r="F48"/>
      <c r="G48"/>
    </row>
    <row r="49" spans="1:9" x14ac:dyDescent="0.2">
      <c r="A49" s="28" t="s">
        <v>10</v>
      </c>
      <c r="B49" s="28">
        <v>0.60855573059203749</v>
      </c>
      <c r="C49"/>
      <c r="D49"/>
      <c r="E49"/>
      <c r="F49"/>
      <c r="G49"/>
    </row>
    <row r="50" spans="1:9" x14ac:dyDescent="0.2">
      <c r="A50" s="28" t="s">
        <v>11</v>
      </c>
      <c r="B50" s="28">
        <v>2.019030308847273</v>
      </c>
      <c r="C50"/>
      <c r="D50"/>
      <c r="E50"/>
      <c r="F50"/>
      <c r="G50"/>
    </row>
    <row r="51" spans="1:9" ht="17" thickBot="1" x14ac:dyDescent="0.25">
      <c r="A51" s="29" t="s">
        <v>12</v>
      </c>
      <c r="B51" s="29">
        <v>38</v>
      </c>
      <c r="C51"/>
      <c r="D51"/>
      <c r="E51"/>
      <c r="F51"/>
      <c r="G51"/>
    </row>
    <row r="52" spans="1:9" x14ac:dyDescent="0.2">
      <c r="A52"/>
      <c r="B52"/>
      <c r="C52"/>
      <c r="D52"/>
      <c r="E52"/>
      <c r="F52"/>
      <c r="G52"/>
    </row>
    <row r="53" spans="1:9" ht="17" thickBot="1" x14ac:dyDescent="0.25">
      <c r="A53" t="s">
        <v>13</v>
      </c>
      <c r="B53"/>
      <c r="C53"/>
      <c r="D53"/>
      <c r="E53"/>
      <c r="F53"/>
      <c r="G53"/>
    </row>
    <row r="54" spans="1:9" x14ac:dyDescent="0.2">
      <c r="A54" s="30"/>
      <c r="B54" s="30" t="s">
        <v>18</v>
      </c>
      <c r="C54" s="30" t="s">
        <v>19</v>
      </c>
      <c r="D54" s="30" t="s">
        <v>20</v>
      </c>
      <c r="E54" s="30" t="s">
        <v>21</v>
      </c>
      <c r="F54" s="30" t="s">
        <v>22</v>
      </c>
      <c r="G54"/>
    </row>
    <row r="55" spans="1:9" x14ac:dyDescent="0.2">
      <c r="A55" s="28" t="s">
        <v>14</v>
      </c>
      <c r="B55" s="28">
        <v>1</v>
      </c>
      <c r="C55" s="28">
        <v>238.56296908305077</v>
      </c>
      <c r="D55" s="28">
        <v>238.56296908305077</v>
      </c>
      <c r="E55" s="28">
        <v>58.521756713823962</v>
      </c>
      <c r="F55" s="28">
        <v>4.6986479958475871E-9</v>
      </c>
      <c r="G55"/>
    </row>
    <row r="56" spans="1:9" x14ac:dyDescent="0.2">
      <c r="A56" s="28" t="s">
        <v>15</v>
      </c>
      <c r="B56" s="28">
        <v>36</v>
      </c>
      <c r="C56" s="28">
        <v>146.75340196958089</v>
      </c>
      <c r="D56" s="28">
        <v>4.076483388043914</v>
      </c>
      <c r="E56" s="28"/>
      <c r="F56" s="28"/>
      <c r="G56"/>
    </row>
    <row r="57" spans="1:9" ht="17" thickBot="1" x14ac:dyDescent="0.25">
      <c r="A57" s="29" t="s">
        <v>16</v>
      </c>
      <c r="B57" s="29">
        <v>37</v>
      </c>
      <c r="C57" s="29">
        <v>385.31637105263167</v>
      </c>
      <c r="D57" s="29"/>
      <c r="E57" s="29"/>
      <c r="F57" s="29"/>
      <c r="G57"/>
    </row>
    <row r="58" spans="1:9" ht="17" thickBot="1" x14ac:dyDescent="0.25">
      <c r="A58"/>
      <c r="B58"/>
      <c r="C58"/>
      <c r="D58"/>
      <c r="E58"/>
      <c r="F58"/>
      <c r="G58"/>
    </row>
    <row r="59" spans="1:9" x14ac:dyDescent="0.2">
      <c r="A59" s="30"/>
      <c r="B59" s="30" t="s">
        <v>23</v>
      </c>
      <c r="C59" s="30" t="s">
        <v>11</v>
      </c>
      <c r="D59" s="30" t="s">
        <v>24</v>
      </c>
      <c r="E59" s="30" t="s">
        <v>25</v>
      </c>
      <c r="F59" s="30" t="s">
        <v>26</v>
      </c>
      <c r="G59" s="30" t="s">
        <v>27</v>
      </c>
      <c r="H59" s="30" t="s">
        <v>28</v>
      </c>
      <c r="I59" s="30" t="s">
        <v>29</v>
      </c>
    </row>
    <row r="60" spans="1:9" x14ac:dyDescent="0.2">
      <c r="A60" s="28" t="s">
        <v>17</v>
      </c>
      <c r="B60" s="28">
        <v>48.542603129445226</v>
      </c>
      <c r="C60" s="28">
        <v>0.6682062577961001</v>
      </c>
      <c r="D60" s="28">
        <v>72.646136672754366</v>
      </c>
      <c r="E60" s="28">
        <v>1.199006055346023E-40</v>
      </c>
      <c r="F60" s="28">
        <v>47.187418026591359</v>
      </c>
      <c r="G60" s="28">
        <v>49.897788232299092</v>
      </c>
      <c r="H60" s="28">
        <v>47.187418026591359</v>
      </c>
      <c r="I60" s="28">
        <v>49.897788232299092</v>
      </c>
    </row>
    <row r="61" spans="1:9" ht="17" thickBot="1" x14ac:dyDescent="0.25">
      <c r="A61" s="29" t="s">
        <v>34</v>
      </c>
      <c r="B61" s="29">
        <v>0.22848998796367223</v>
      </c>
      <c r="C61" s="29">
        <v>2.986816195913166E-2</v>
      </c>
      <c r="D61" s="29">
        <v>7.6499514190499251</v>
      </c>
      <c r="E61" s="29">
        <v>4.6986479958475871E-9</v>
      </c>
      <c r="F61" s="29">
        <v>0.16791454787404475</v>
      </c>
      <c r="G61" s="29">
        <v>0.28906542805329971</v>
      </c>
      <c r="H61" s="29">
        <v>0.16791454787404475</v>
      </c>
      <c r="I61" s="29">
        <v>0.28906542805329971</v>
      </c>
    </row>
    <row r="62" spans="1:9" x14ac:dyDescent="0.2">
      <c r="A62"/>
      <c r="B62"/>
      <c r="C62"/>
      <c r="D62"/>
      <c r="E62"/>
      <c r="F62"/>
      <c r="G62"/>
    </row>
    <row r="63" spans="1:9" x14ac:dyDescent="0.2">
      <c r="A63"/>
      <c r="B63"/>
      <c r="C63"/>
      <c r="D63"/>
      <c r="E63"/>
      <c r="F63"/>
      <c r="G63"/>
    </row>
    <row r="64" spans="1:9" x14ac:dyDescent="0.2">
      <c r="A64"/>
      <c r="B64"/>
      <c r="C64"/>
      <c r="D64"/>
      <c r="E64"/>
      <c r="F64"/>
      <c r="G64"/>
    </row>
    <row r="65" spans="1:7" x14ac:dyDescent="0.2">
      <c r="A65" t="s">
        <v>30</v>
      </c>
      <c r="B65"/>
      <c r="C65"/>
      <c r="D65"/>
      <c r="E65"/>
      <c r="F65"/>
      <c r="G65"/>
    </row>
    <row r="66" spans="1:7" ht="17" thickBot="1" x14ac:dyDescent="0.25">
      <c r="A66"/>
      <c r="B66"/>
      <c r="C66"/>
      <c r="D66"/>
      <c r="E66"/>
      <c r="F66"/>
      <c r="G66"/>
    </row>
    <row r="67" spans="1:7" x14ac:dyDescent="0.2">
      <c r="A67" s="30" t="s">
        <v>31</v>
      </c>
      <c r="B67" s="30" t="s">
        <v>35</v>
      </c>
      <c r="C67" s="30" t="s">
        <v>32</v>
      </c>
      <c r="D67" s="30" t="s">
        <v>33</v>
      </c>
      <c r="E67"/>
      <c r="F67"/>
      <c r="G67"/>
    </row>
    <row r="68" spans="1:7" x14ac:dyDescent="0.2">
      <c r="A68" s="28">
        <v>1</v>
      </c>
      <c r="B68" s="28">
        <v>48.771093117408896</v>
      </c>
      <c r="C68" s="28">
        <v>0.52890688259110163</v>
      </c>
      <c r="D68" s="28">
        <v>0.26557426712420185</v>
      </c>
      <c r="E68"/>
      <c r="F68"/>
      <c r="G68"/>
    </row>
    <row r="69" spans="1:7" x14ac:dyDescent="0.2">
      <c r="A69" s="28">
        <v>2</v>
      </c>
      <c r="B69" s="28">
        <v>48.999583105372572</v>
      </c>
      <c r="C69" s="28">
        <v>0.80041689462742482</v>
      </c>
      <c r="D69" s="28">
        <v>0.40190463989262548</v>
      </c>
      <c r="E69"/>
      <c r="F69"/>
      <c r="G69"/>
    </row>
    <row r="70" spans="1:7" x14ac:dyDescent="0.2">
      <c r="A70" s="28">
        <v>3</v>
      </c>
      <c r="B70" s="28">
        <v>49.228073093336242</v>
      </c>
      <c r="C70" s="28">
        <v>-0.31807309333624545</v>
      </c>
      <c r="D70" s="28">
        <v>-0.15971058693899931</v>
      </c>
      <c r="E70"/>
      <c r="F70"/>
      <c r="G70"/>
    </row>
    <row r="71" spans="1:7" x14ac:dyDescent="0.2">
      <c r="A71" s="28">
        <v>4</v>
      </c>
      <c r="B71" s="28">
        <v>49.456563081299912</v>
      </c>
      <c r="C71" s="28">
        <v>-0.73656308129991288</v>
      </c>
      <c r="D71" s="28">
        <v>-0.36984241828858228</v>
      </c>
      <c r="E71"/>
      <c r="F71"/>
      <c r="G71"/>
    </row>
    <row r="72" spans="1:7" x14ac:dyDescent="0.2">
      <c r="A72" s="28">
        <v>5</v>
      </c>
      <c r="B72" s="28">
        <v>49.685053069263589</v>
      </c>
      <c r="C72" s="28">
        <v>-2.2550530692635888</v>
      </c>
      <c r="D72" s="28">
        <v>-1.1323052996813758</v>
      </c>
      <c r="E72"/>
      <c r="F72"/>
      <c r="G72"/>
    </row>
    <row r="73" spans="1:7" x14ac:dyDescent="0.2">
      <c r="A73" s="28">
        <v>6</v>
      </c>
      <c r="B73" s="28">
        <v>49.913543057227258</v>
      </c>
      <c r="C73" s="28">
        <v>-2.0635430572272568</v>
      </c>
      <c r="D73" s="28">
        <v>-1.0361444578251811</v>
      </c>
      <c r="E73"/>
      <c r="F73"/>
      <c r="G73"/>
    </row>
    <row r="74" spans="1:7" x14ac:dyDescent="0.2">
      <c r="A74" s="28">
        <v>7</v>
      </c>
      <c r="B74" s="28">
        <v>50.142033045190928</v>
      </c>
      <c r="C74" s="28">
        <v>-2.8620330451909268</v>
      </c>
      <c r="D74" s="28">
        <v>-1.4370815610078729</v>
      </c>
      <c r="E74"/>
      <c r="F74"/>
      <c r="G74"/>
    </row>
    <row r="75" spans="1:7" x14ac:dyDescent="0.2">
      <c r="A75" s="28">
        <v>8</v>
      </c>
      <c r="B75" s="28">
        <v>50.370523033154605</v>
      </c>
      <c r="C75" s="28">
        <v>-2.0405230331546065</v>
      </c>
      <c r="D75" s="28">
        <v>-1.0245856632178474</v>
      </c>
      <c r="E75"/>
      <c r="F75"/>
      <c r="G75"/>
    </row>
    <row r="76" spans="1:7" x14ac:dyDescent="0.2">
      <c r="A76" s="28">
        <v>9</v>
      </c>
      <c r="B76" s="28">
        <v>50.599013021118274</v>
      </c>
      <c r="C76" s="28">
        <v>-2.0190130211182762</v>
      </c>
      <c r="D76" s="28">
        <v>-1.0137850745501491</v>
      </c>
      <c r="E76"/>
      <c r="F76"/>
      <c r="G76"/>
    </row>
    <row r="77" spans="1:7" x14ac:dyDescent="0.2">
      <c r="A77" s="28">
        <v>10</v>
      </c>
      <c r="B77" s="28">
        <v>50.827503009081951</v>
      </c>
      <c r="C77" s="28">
        <v>-1.3575030090819524</v>
      </c>
      <c r="D77" s="28">
        <v>-0.68162823858458832</v>
      </c>
      <c r="E77"/>
      <c r="F77"/>
      <c r="G77"/>
    </row>
    <row r="78" spans="1:7" x14ac:dyDescent="0.2">
      <c r="A78" s="28">
        <v>11</v>
      </c>
      <c r="B78" s="28">
        <v>51.055992997045621</v>
      </c>
      <c r="C78" s="28">
        <v>-0.96599299704561759</v>
      </c>
      <c r="D78" s="28">
        <v>-0.48504356944780902</v>
      </c>
      <c r="E78"/>
      <c r="F78"/>
      <c r="G78"/>
    </row>
    <row r="79" spans="1:7" x14ac:dyDescent="0.2">
      <c r="A79" s="28">
        <v>12</v>
      </c>
      <c r="B79" s="28">
        <v>51.284482985009291</v>
      </c>
      <c r="C79" s="28">
        <v>-1.1544829850092881</v>
      </c>
      <c r="D79" s="28">
        <v>-0.57968799942472315</v>
      </c>
      <c r="E79"/>
      <c r="F79"/>
      <c r="G79"/>
    </row>
    <row r="80" spans="1:7" x14ac:dyDescent="0.2">
      <c r="A80" s="28">
        <v>13</v>
      </c>
      <c r="B80" s="28">
        <v>51.512972972972968</v>
      </c>
      <c r="C80" s="28">
        <v>-0.11297297297296893</v>
      </c>
      <c r="D80" s="28">
        <v>-5.6725891626057005E-2</v>
      </c>
      <c r="E80"/>
      <c r="F80"/>
      <c r="G80"/>
    </row>
    <row r="81" spans="1:7" x14ac:dyDescent="0.2">
      <c r="A81" s="28">
        <v>14</v>
      </c>
      <c r="B81" s="28">
        <v>51.741462960936637</v>
      </c>
      <c r="C81" s="28">
        <v>-0.27146296093663835</v>
      </c>
      <c r="D81" s="28">
        <v>-0.13630674751088306</v>
      </c>
      <c r="E81"/>
      <c r="F81"/>
      <c r="G81"/>
    </row>
    <row r="82" spans="1:7" x14ac:dyDescent="0.2">
      <c r="A82" s="28">
        <v>15</v>
      </c>
      <c r="B82" s="28">
        <v>51.969952948900307</v>
      </c>
      <c r="C82" s="28">
        <v>-2.9952948900309195E-2</v>
      </c>
      <c r="D82" s="28">
        <v>-1.5039948834543893E-2</v>
      </c>
      <c r="E82"/>
      <c r="F82"/>
      <c r="G82"/>
    </row>
    <row r="83" spans="1:7" x14ac:dyDescent="0.2">
      <c r="A83" s="28">
        <v>16</v>
      </c>
      <c r="B83" s="28">
        <v>52.198442936863984</v>
      </c>
      <c r="C83" s="28">
        <v>1.5515570631360163</v>
      </c>
      <c r="D83" s="28">
        <v>0.77906649262169936</v>
      </c>
      <c r="E83"/>
      <c r="F83"/>
      <c r="G83"/>
    </row>
    <row r="84" spans="1:7" x14ac:dyDescent="0.2">
      <c r="A84" s="28">
        <v>17</v>
      </c>
      <c r="B84" s="28">
        <v>52.426932924827653</v>
      </c>
      <c r="C84" s="28">
        <v>2.3430670751723497</v>
      </c>
      <c r="D84" s="28">
        <v>1.1764988163196439</v>
      </c>
      <c r="E84"/>
      <c r="F84"/>
      <c r="G84"/>
    </row>
    <row r="85" spans="1:7" x14ac:dyDescent="0.2">
      <c r="A85" s="28">
        <v>18</v>
      </c>
      <c r="B85" s="28">
        <v>52.655422912791323</v>
      </c>
      <c r="C85" s="28">
        <v>2.8445770872086769</v>
      </c>
      <c r="D85" s="28">
        <v>1.42831659046074</v>
      </c>
      <c r="E85"/>
      <c r="F85"/>
      <c r="G85"/>
    </row>
    <row r="86" spans="1:7" x14ac:dyDescent="0.2">
      <c r="A86" s="28">
        <v>19</v>
      </c>
      <c r="B86" s="28">
        <v>52.883912900755</v>
      </c>
      <c r="C86" s="28">
        <v>2.2760870992449966</v>
      </c>
      <c r="D86" s="28">
        <v>1.1428668886507134</v>
      </c>
      <c r="E86"/>
      <c r="F86"/>
      <c r="G86"/>
    </row>
    <row r="87" spans="1:7" x14ac:dyDescent="0.2">
      <c r="A87" s="28">
        <v>20</v>
      </c>
      <c r="B87" s="28">
        <v>53.11240288871867</v>
      </c>
      <c r="C87" s="28">
        <v>2.4375971112813275</v>
      </c>
      <c r="D87" s="28">
        <v>1.2239641564148203</v>
      </c>
      <c r="E87"/>
      <c r="F87"/>
      <c r="G87"/>
    </row>
    <row r="88" spans="1:7" x14ac:dyDescent="0.2">
      <c r="A88" s="28">
        <v>21</v>
      </c>
      <c r="B88" s="28">
        <v>53.340892876682346</v>
      </c>
      <c r="C88" s="28">
        <v>2.3091071233176521</v>
      </c>
      <c r="D88" s="28">
        <v>1.1594468746220785</v>
      </c>
      <c r="E88"/>
      <c r="F88"/>
      <c r="G88"/>
    </row>
    <row r="89" spans="1:7" x14ac:dyDescent="0.2">
      <c r="A89" s="28">
        <v>22</v>
      </c>
      <c r="B89" s="28">
        <v>53.569382864646016</v>
      </c>
      <c r="C89" s="28">
        <v>2.730617135353981</v>
      </c>
      <c r="D89" s="28">
        <v>1.3710951178509423</v>
      </c>
      <c r="E89"/>
      <c r="F89"/>
      <c r="G89"/>
    </row>
    <row r="90" spans="1:7" x14ac:dyDescent="0.2">
      <c r="A90" s="28">
        <v>23</v>
      </c>
      <c r="B90" s="28">
        <v>53.797872852609686</v>
      </c>
      <c r="C90" s="28">
        <v>2.402127147390317</v>
      </c>
      <c r="D90" s="28">
        <v>1.2061540087776235</v>
      </c>
      <c r="E90"/>
      <c r="F90"/>
      <c r="G90"/>
    </row>
    <row r="91" spans="1:7" x14ac:dyDescent="0.2">
      <c r="A91" s="28">
        <v>24</v>
      </c>
      <c r="B91" s="28">
        <v>54.026362840573356</v>
      </c>
      <c r="C91" s="28">
        <v>2.8936371594266461</v>
      </c>
      <c r="D91" s="28">
        <v>1.4529505915546914</v>
      </c>
      <c r="E91"/>
      <c r="F91"/>
      <c r="G91"/>
    </row>
    <row r="92" spans="1:7" x14ac:dyDescent="0.2">
      <c r="A92" s="28">
        <v>25</v>
      </c>
      <c r="B92" s="28">
        <v>54.254852828537032</v>
      </c>
      <c r="C92" s="28">
        <v>0.28514717146296675</v>
      </c>
      <c r="D92" s="28">
        <v>0.14317785148271878</v>
      </c>
      <c r="E92"/>
      <c r="F92"/>
      <c r="G92"/>
    </row>
    <row r="93" spans="1:7" x14ac:dyDescent="0.2">
      <c r="A93" s="28">
        <v>26</v>
      </c>
      <c r="B93" s="28">
        <v>54.483342816500702</v>
      </c>
      <c r="C93" s="28">
        <v>0.61665718349929932</v>
      </c>
      <c r="D93" s="28">
        <v>0.30963537243532202</v>
      </c>
      <c r="E93"/>
      <c r="F93"/>
      <c r="G93"/>
    </row>
    <row r="94" spans="1:7" x14ac:dyDescent="0.2">
      <c r="A94" s="28">
        <v>27</v>
      </c>
      <c r="B94" s="28">
        <v>54.711832804464379</v>
      </c>
      <c r="C94" s="28">
        <v>1.6981671955356177</v>
      </c>
      <c r="D94" s="28">
        <v>0.85268224569010431</v>
      </c>
      <c r="E94"/>
      <c r="F94"/>
      <c r="G94"/>
    </row>
    <row r="95" spans="1:7" x14ac:dyDescent="0.2">
      <c r="A95" s="28">
        <v>28</v>
      </c>
      <c r="B95" s="28">
        <v>54.940322792428049</v>
      </c>
      <c r="C95" s="28">
        <v>1.8596772075719485</v>
      </c>
      <c r="D95" s="28">
        <v>0.93377951345421106</v>
      </c>
      <c r="E95"/>
      <c r="F95"/>
      <c r="G95"/>
    </row>
    <row r="96" spans="1:7" x14ac:dyDescent="0.2">
      <c r="A96" s="28">
        <v>29</v>
      </c>
      <c r="B96" s="28">
        <v>55.168812780391718</v>
      </c>
      <c r="C96" s="28">
        <v>1.4211872196082851</v>
      </c>
      <c r="D96" s="28">
        <v>0.71360529937657191</v>
      </c>
      <c r="E96"/>
      <c r="F96"/>
      <c r="G96"/>
    </row>
    <row r="97" spans="1:7" x14ac:dyDescent="0.2">
      <c r="A97" s="28">
        <v>30</v>
      </c>
      <c r="B97" s="28">
        <v>55.397302768355395</v>
      </c>
      <c r="C97" s="28">
        <v>1.4526972316446063</v>
      </c>
      <c r="D97" s="28">
        <v>0.72942707940829488</v>
      </c>
      <c r="E97"/>
      <c r="F97"/>
      <c r="G97"/>
    </row>
    <row r="98" spans="1:7" x14ac:dyDescent="0.2">
      <c r="A98" s="28">
        <v>31</v>
      </c>
      <c r="B98" s="28">
        <v>55.625792756319065</v>
      </c>
      <c r="C98" s="28">
        <v>0.91420724368093431</v>
      </c>
      <c r="D98" s="28">
        <v>0.45904095169035991</v>
      </c>
      <c r="E98"/>
      <c r="F98"/>
      <c r="G98"/>
    </row>
    <row r="99" spans="1:7" x14ac:dyDescent="0.2">
      <c r="A99" s="28">
        <v>32</v>
      </c>
      <c r="B99" s="28">
        <v>55.854282744282735</v>
      </c>
      <c r="C99" s="28">
        <v>-0.67428274428273482</v>
      </c>
      <c r="D99" s="28">
        <v>-0.33857026925063433</v>
      </c>
      <c r="E99"/>
      <c r="F99"/>
      <c r="G99"/>
    </row>
    <row r="100" spans="1:7" x14ac:dyDescent="0.2">
      <c r="A100" s="28">
        <v>33</v>
      </c>
      <c r="B100" s="28">
        <v>56.082772732246411</v>
      </c>
      <c r="C100" s="28">
        <v>-0.70277273224640879</v>
      </c>
      <c r="D100" s="28">
        <v>-0.35287563740308375</v>
      </c>
      <c r="E100"/>
      <c r="F100"/>
      <c r="G100"/>
    </row>
    <row r="101" spans="1:7" x14ac:dyDescent="0.2">
      <c r="A101" s="28">
        <v>34</v>
      </c>
      <c r="B101" s="28">
        <v>56.311262720210081</v>
      </c>
      <c r="C101" s="28">
        <v>-0.95126272021008162</v>
      </c>
      <c r="D101" s="28">
        <v>-0.47764721556417383</v>
      </c>
      <c r="E101"/>
      <c r="F101"/>
      <c r="G101"/>
    </row>
    <row r="102" spans="1:7" x14ac:dyDescent="0.2">
      <c r="A102" s="28">
        <v>35</v>
      </c>
      <c r="B102" s="28">
        <v>56.539752708173751</v>
      </c>
      <c r="C102" s="28">
        <v>-1.7697527081737476</v>
      </c>
      <c r="D102" s="28">
        <v>-0.88862670147492206</v>
      </c>
      <c r="E102"/>
      <c r="F102"/>
      <c r="G102"/>
    </row>
    <row r="103" spans="1:7" x14ac:dyDescent="0.2">
      <c r="A103" s="28">
        <v>36</v>
      </c>
      <c r="B103" s="28">
        <v>56.768242696137428</v>
      </c>
      <c r="C103" s="28">
        <v>-2.5582426961374267</v>
      </c>
      <c r="D103" s="28">
        <v>-1.2845426132935893</v>
      </c>
      <c r="E103"/>
      <c r="F103"/>
      <c r="G103"/>
    </row>
    <row r="104" spans="1:7" x14ac:dyDescent="0.2">
      <c r="A104" s="28">
        <v>37</v>
      </c>
      <c r="B104" s="28">
        <v>56.996732684101097</v>
      </c>
      <c r="C104" s="28">
        <v>-3.3767326841010998</v>
      </c>
      <c r="D104" s="28">
        <v>-1.6955220992043412</v>
      </c>
      <c r="E104"/>
      <c r="F104"/>
      <c r="G104"/>
    </row>
    <row r="105" spans="1:7" ht="17" thickBot="1" x14ac:dyDescent="0.25">
      <c r="A105" s="29">
        <v>38</v>
      </c>
      <c r="B105" s="29">
        <v>57.225222672064774</v>
      </c>
      <c r="C105" s="29">
        <v>-5.1452226720647758</v>
      </c>
      <c r="D105" s="29">
        <v>-2.5835147646978633</v>
      </c>
      <c r="E105"/>
      <c r="F105"/>
      <c r="G105"/>
    </row>
    <row r="108" spans="1:7" x14ac:dyDescent="0.2">
      <c r="A108" s="15" t="s">
        <v>90</v>
      </c>
    </row>
    <row r="109" spans="1:7" x14ac:dyDescent="0.2">
      <c r="A109" s="16" t="s">
        <v>53</v>
      </c>
      <c r="B109" s="16" t="s">
        <v>54</v>
      </c>
      <c r="C109" s="16" t="s">
        <v>63</v>
      </c>
      <c r="D109" s="16" t="s">
        <v>64</v>
      </c>
    </row>
    <row r="110" spans="1:7" x14ac:dyDescent="0.2">
      <c r="A110" s="26">
        <v>45873</v>
      </c>
      <c r="B110" s="20">
        <v>1756200</v>
      </c>
      <c r="C110" s="16">
        <v>52.48</v>
      </c>
      <c r="D110" s="16">
        <v>52.76</v>
      </c>
    </row>
    <row r="111" spans="1:7" x14ac:dyDescent="0.2">
      <c r="A111" s="26">
        <v>45874</v>
      </c>
      <c r="B111" s="20">
        <v>1416500</v>
      </c>
      <c r="C111" s="16">
        <v>52.92</v>
      </c>
      <c r="D111" s="16">
        <v>52.47</v>
      </c>
    </row>
    <row r="112" spans="1:7" x14ac:dyDescent="0.2">
      <c r="A112" s="26">
        <v>45875</v>
      </c>
      <c r="B112" s="20">
        <v>1437700</v>
      </c>
      <c r="C112" s="16">
        <v>52.21</v>
      </c>
      <c r="D112" s="16">
        <v>51.52</v>
      </c>
    </row>
    <row r="113" spans="1:4" x14ac:dyDescent="0.2">
      <c r="A113" s="26">
        <v>45876</v>
      </c>
      <c r="B113" s="20">
        <v>2352200</v>
      </c>
      <c r="C113" s="16">
        <v>52.21</v>
      </c>
      <c r="D113" s="16">
        <v>51.2</v>
      </c>
    </row>
    <row r="114" spans="1:4" x14ac:dyDescent="0.2">
      <c r="A114" s="26">
        <v>45877</v>
      </c>
      <c r="B114" s="20">
        <v>1349000</v>
      </c>
      <c r="C114" s="16">
        <v>51.75</v>
      </c>
      <c r="D114" s="16">
        <v>52.04</v>
      </c>
    </row>
    <row r="115" spans="1:4" x14ac:dyDescent="0.2">
      <c r="A115" s="26">
        <v>45880</v>
      </c>
      <c r="B115" s="20">
        <v>1798800</v>
      </c>
      <c r="C115" s="16">
        <v>52.08</v>
      </c>
      <c r="D115" s="16">
        <v>51.78</v>
      </c>
    </row>
    <row r="116" spans="1:4" x14ac:dyDescent="0.2">
      <c r="A116" s="26">
        <v>45881</v>
      </c>
      <c r="B116" s="20">
        <v>1302700</v>
      </c>
      <c r="C116" s="16">
        <v>52.3</v>
      </c>
      <c r="D116" s="16">
        <v>53.16</v>
      </c>
    </row>
    <row r="117" spans="1:4" x14ac:dyDescent="0.2">
      <c r="A117" s="26">
        <v>45882</v>
      </c>
      <c r="B117" s="20">
        <v>1798400</v>
      </c>
      <c r="C117" s="16">
        <v>53.37</v>
      </c>
      <c r="D117" s="16">
        <v>53.86</v>
      </c>
    </row>
    <row r="118" spans="1:4" x14ac:dyDescent="0.2">
      <c r="A118" s="26">
        <v>45883</v>
      </c>
      <c r="B118" s="20">
        <v>1312600</v>
      </c>
      <c r="C118" s="16">
        <v>52.74</v>
      </c>
      <c r="D118" s="16">
        <v>53.77</v>
      </c>
    </row>
    <row r="119" spans="1:4" x14ac:dyDescent="0.2">
      <c r="A119" s="26">
        <v>45884</v>
      </c>
      <c r="B119" s="20">
        <v>1075200</v>
      </c>
      <c r="C119" s="16">
        <v>53.75</v>
      </c>
      <c r="D119" s="16">
        <v>52.67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B3DB-27F6-434D-AE5C-E2CA8AB89AE3}">
  <dimension ref="A1:I119"/>
  <sheetViews>
    <sheetView topLeftCell="A104" workbookViewId="0">
      <selection activeCell="G111" sqref="G111"/>
    </sheetView>
  </sheetViews>
  <sheetFormatPr baseColWidth="10" defaultRowHeight="16" x14ac:dyDescent="0.2"/>
  <cols>
    <col min="1" max="1" width="11" style="1" bestFit="1" customWidth="1"/>
    <col min="2" max="2" width="11.83203125" style="1" bestFit="1" customWidth="1"/>
    <col min="3" max="3" width="11.83203125" style="1" customWidth="1"/>
    <col min="4" max="4" width="11" style="1" bestFit="1" customWidth="1"/>
    <col min="6" max="16384" width="10.83203125" style="1"/>
  </cols>
  <sheetData>
    <row r="1" spans="1:6" x14ac:dyDescent="0.2">
      <c r="A1" s="16" t="s">
        <v>53</v>
      </c>
      <c r="B1" s="16" t="s">
        <v>54</v>
      </c>
      <c r="C1" s="16" t="s">
        <v>34</v>
      </c>
      <c r="D1" s="16" t="s">
        <v>55</v>
      </c>
      <c r="E1" s="1" t="s">
        <v>56</v>
      </c>
      <c r="F1" s="1" t="s">
        <v>57</v>
      </c>
    </row>
    <row r="2" spans="1:6" ht="18" x14ac:dyDescent="0.2">
      <c r="A2" s="17">
        <v>45817</v>
      </c>
      <c r="B2" s="19">
        <v>14261000</v>
      </c>
      <c r="C2" s="19">
        <v>1</v>
      </c>
      <c r="D2" s="18">
        <v>2.0099999999999998</v>
      </c>
      <c r="E2" s="1"/>
      <c r="F2" s="1" cm="1">
        <f t="array" ref="F2">SUMPRODUCT(--(D7:D39&gt;E7:E39))/33</f>
        <v>0.51515151515151514</v>
      </c>
    </row>
    <row r="3" spans="1:6" ht="18" x14ac:dyDescent="0.2">
      <c r="A3" s="17">
        <v>45818</v>
      </c>
      <c r="B3" s="19">
        <v>18445200</v>
      </c>
      <c r="C3" s="19">
        <v>2</v>
      </c>
      <c r="D3" s="18">
        <v>2.02</v>
      </c>
      <c r="E3" s="18"/>
      <c r="F3" s="18"/>
    </row>
    <row r="4" spans="1:6" ht="18" x14ac:dyDescent="0.2">
      <c r="A4" s="17">
        <v>45819</v>
      </c>
      <c r="B4" s="19">
        <v>17159300</v>
      </c>
      <c r="C4" s="19">
        <v>3</v>
      </c>
      <c r="D4" s="18">
        <v>2</v>
      </c>
      <c r="E4" s="18"/>
      <c r="F4" s="18"/>
    </row>
    <row r="5" spans="1:6" ht="18" x14ac:dyDescent="0.2">
      <c r="A5" s="17">
        <v>45820</v>
      </c>
      <c r="B5" s="19">
        <v>17348200</v>
      </c>
      <c r="C5" s="19">
        <v>4</v>
      </c>
      <c r="D5" s="18">
        <v>1.95</v>
      </c>
      <c r="E5" s="18"/>
      <c r="F5" s="18"/>
    </row>
    <row r="6" spans="1:6" ht="18" x14ac:dyDescent="0.2">
      <c r="A6" s="17">
        <v>45821</v>
      </c>
      <c r="B6" s="19">
        <v>16016100</v>
      </c>
      <c r="C6" s="19">
        <v>5</v>
      </c>
      <c r="D6" s="18">
        <v>1.89</v>
      </c>
      <c r="E6" s="18"/>
      <c r="F6" s="18"/>
    </row>
    <row r="7" spans="1:6" ht="18" x14ac:dyDescent="0.2">
      <c r="A7" s="17">
        <v>45824</v>
      </c>
      <c r="B7" s="19">
        <v>18221000</v>
      </c>
      <c r="C7" s="19">
        <v>6</v>
      </c>
      <c r="D7" s="18">
        <v>1.9</v>
      </c>
      <c r="E7" s="18">
        <f>AVERAGE(D2:D6)</f>
        <v>1.9739999999999998</v>
      </c>
      <c r="F7" s="18"/>
    </row>
    <row r="8" spans="1:6" ht="18" x14ac:dyDescent="0.2">
      <c r="A8" s="17">
        <v>45825</v>
      </c>
      <c r="B8" s="19">
        <v>12196800</v>
      </c>
      <c r="C8" s="19">
        <v>7</v>
      </c>
      <c r="D8" s="18">
        <v>1.76</v>
      </c>
      <c r="E8" s="18">
        <f t="shared" ref="E8:E39" si="0">AVERAGE(D3:D7)</f>
        <v>1.952</v>
      </c>
    </row>
    <row r="9" spans="1:6" ht="18" x14ac:dyDescent="0.2">
      <c r="A9" s="17">
        <v>45826</v>
      </c>
      <c r="B9" s="19">
        <v>15642800</v>
      </c>
      <c r="C9" s="19">
        <v>8</v>
      </c>
      <c r="D9" s="18">
        <v>1.76</v>
      </c>
      <c r="E9" s="18">
        <f t="shared" si="0"/>
        <v>1.9</v>
      </c>
    </row>
    <row r="10" spans="1:6" ht="18" x14ac:dyDescent="0.2">
      <c r="A10" s="17">
        <v>45828</v>
      </c>
      <c r="B10" s="19">
        <v>24899800</v>
      </c>
      <c r="C10" s="19">
        <v>9</v>
      </c>
      <c r="D10" s="18">
        <v>1.7</v>
      </c>
      <c r="E10" s="18">
        <f t="shared" si="0"/>
        <v>1.8519999999999999</v>
      </c>
    </row>
    <row r="11" spans="1:6" ht="18" x14ac:dyDescent="0.2">
      <c r="A11" s="17">
        <v>45831</v>
      </c>
      <c r="B11" s="19">
        <v>18031900</v>
      </c>
      <c r="C11" s="19">
        <v>10</v>
      </c>
      <c r="D11" s="18">
        <v>1.67</v>
      </c>
      <c r="E11" s="18">
        <f t="shared" si="0"/>
        <v>1.802</v>
      </c>
    </row>
    <row r="12" spans="1:6" ht="18" x14ac:dyDescent="0.2">
      <c r="A12" s="17">
        <v>45832</v>
      </c>
      <c r="B12" s="19">
        <v>19494600</v>
      </c>
      <c r="C12" s="19">
        <v>11</v>
      </c>
      <c r="D12" s="18">
        <v>1.85</v>
      </c>
      <c r="E12" s="18">
        <f t="shared" si="0"/>
        <v>1.7579999999999998</v>
      </c>
    </row>
    <row r="13" spans="1:6" ht="18" x14ac:dyDescent="0.2">
      <c r="A13" s="17">
        <v>45833</v>
      </c>
      <c r="B13" s="19">
        <v>18746900</v>
      </c>
      <c r="C13" s="19">
        <v>12</v>
      </c>
      <c r="D13" s="18">
        <v>1.78</v>
      </c>
      <c r="E13" s="18">
        <f t="shared" si="0"/>
        <v>1.748</v>
      </c>
    </row>
    <row r="14" spans="1:6" ht="18" x14ac:dyDescent="0.2">
      <c r="A14" s="17">
        <v>45834</v>
      </c>
      <c r="B14" s="19">
        <v>28654200</v>
      </c>
      <c r="C14" s="19">
        <v>13</v>
      </c>
      <c r="D14" s="18">
        <v>1.79</v>
      </c>
      <c r="E14" s="18">
        <f t="shared" si="0"/>
        <v>1.752</v>
      </c>
    </row>
    <row r="15" spans="1:6" ht="18" x14ac:dyDescent="0.2">
      <c r="A15" s="17">
        <v>45835</v>
      </c>
      <c r="B15" s="19">
        <v>28373700</v>
      </c>
      <c r="C15" s="19">
        <v>14</v>
      </c>
      <c r="D15" s="18">
        <v>1.8</v>
      </c>
      <c r="E15" s="18">
        <f t="shared" si="0"/>
        <v>1.7580000000000002</v>
      </c>
    </row>
    <row r="16" spans="1:6" ht="18" x14ac:dyDescent="0.2">
      <c r="A16" s="17">
        <v>45838</v>
      </c>
      <c r="B16" s="19">
        <v>32054600</v>
      </c>
      <c r="C16" s="19">
        <v>15</v>
      </c>
      <c r="D16" s="18">
        <v>1.8</v>
      </c>
      <c r="E16" s="18">
        <f t="shared" si="0"/>
        <v>1.778</v>
      </c>
    </row>
    <row r="17" spans="1:5" ht="18" x14ac:dyDescent="0.2">
      <c r="A17" s="17">
        <v>45839</v>
      </c>
      <c r="B17" s="19">
        <v>33289300</v>
      </c>
      <c r="C17" s="19">
        <v>16</v>
      </c>
      <c r="D17" s="18">
        <v>2.0699999999999998</v>
      </c>
      <c r="E17" s="18">
        <f t="shared" si="0"/>
        <v>1.8039999999999998</v>
      </c>
    </row>
    <row r="18" spans="1:5" ht="18" x14ac:dyDescent="0.2">
      <c r="A18" s="17">
        <v>45840</v>
      </c>
      <c r="B18" s="19">
        <v>51681300</v>
      </c>
      <c r="C18" s="19">
        <v>17</v>
      </c>
      <c r="D18" s="18">
        <v>2.25</v>
      </c>
      <c r="E18" s="18">
        <f t="shared" si="0"/>
        <v>1.8480000000000001</v>
      </c>
    </row>
    <row r="19" spans="1:5" ht="18" x14ac:dyDescent="0.2">
      <c r="A19" s="17">
        <v>45841</v>
      </c>
      <c r="B19" s="19">
        <v>23328100</v>
      </c>
      <c r="C19" s="19">
        <v>18</v>
      </c>
      <c r="D19" s="18">
        <v>2.31</v>
      </c>
      <c r="E19" s="18">
        <f t="shared" si="0"/>
        <v>1.9419999999999997</v>
      </c>
    </row>
    <row r="20" spans="1:5" ht="18" x14ac:dyDescent="0.2">
      <c r="A20" s="17">
        <v>45845</v>
      </c>
      <c r="B20" s="19">
        <v>32678300</v>
      </c>
      <c r="C20" s="19">
        <v>19</v>
      </c>
      <c r="D20" s="18">
        <v>2.27</v>
      </c>
      <c r="E20" s="18">
        <f t="shared" si="0"/>
        <v>2.0460000000000003</v>
      </c>
    </row>
    <row r="21" spans="1:5" ht="18" x14ac:dyDescent="0.2">
      <c r="A21" s="17">
        <v>45846</v>
      </c>
      <c r="B21" s="19">
        <v>23530300</v>
      </c>
      <c r="C21" s="19">
        <v>20</v>
      </c>
      <c r="D21" s="18">
        <v>2.2200000000000002</v>
      </c>
      <c r="E21" s="18">
        <f t="shared" si="0"/>
        <v>2.1399999999999997</v>
      </c>
    </row>
    <row r="22" spans="1:5" ht="18" x14ac:dyDescent="0.2">
      <c r="A22" s="17">
        <v>45847</v>
      </c>
      <c r="B22" s="19">
        <v>22975600</v>
      </c>
      <c r="C22" s="19">
        <v>21</v>
      </c>
      <c r="D22" s="18">
        <v>2.21</v>
      </c>
      <c r="E22" s="18">
        <f t="shared" si="0"/>
        <v>2.2240000000000002</v>
      </c>
    </row>
    <row r="23" spans="1:5" ht="18" x14ac:dyDescent="0.2">
      <c r="A23" s="17">
        <v>45848</v>
      </c>
      <c r="B23" s="19">
        <v>23755000</v>
      </c>
      <c r="C23" s="19">
        <v>22</v>
      </c>
      <c r="D23" s="18">
        <v>2.3199999999999998</v>
      </c>
      <c r="E23" s="18">
        <f t="shared" si="0"/>
        <v>2.2520000000000002</v>
      </c>
    </row>
    <row r="24" spans="1:5" ht="18" x14ac:dyDescent="0.2">
      <c r="A24" s="17">
        <v>45849</v>
      </c>
      <c r="B24" s="19">
        <v>24015800</v>
      </c>
      <c r="C24" s="19">
        <v>23</v>
      </c>
      <c r="D24" s="18">
        <v>2.2999999999999998</v>
      </c>
      <c r="E24" s="18">
        <f t="shared" si="0"/>
        <v>2.2660000000000005</v>
      </c>
    </row>
    <row r="25" spans="1:5" ht="18" x14ac:dyDescent="0.2">
      <c r="A25" s="17">
        <v>45852</v>
      </c>
      <c r="B25" s="19">
        <v>34580800</v>
      </c>
      <c r="C25" s="19">
        <v>24</v>
      </c>
      <c r="D25" s="18">
        <v>2.2999999999999998</v>
      </c>
      <c r="E25" s="18">
        <f t="shared" si="0"/>
        <v>2.2640000000000002</v>
      </c>
    </row>
    <row r="26" spans="1:5" ht="18" x14ac:dyDescent="0.2">
      <c r="A26" s="17">
        <v>45853</v>
      </c>
      <c r="B26" s="19">
        <v>25818200</v>
      </c>
      <c r="C26" s="19">
        <v>25</v>
      </c>
      <c r="D26" s="18">
        <v>2.16</v>
      </c>
      <c r="E26" s="18">
        <f t="shared" si="0"/>
        <v>2.2700000000000005</v>
      </c>
    </row>
    <row r="27" spans="1:5" ht="18" x14ac:dyDescent="0.2">
      <c r="A27" s="17">
        <v>45854</v>
      </c>
      <c r="B27" s="19">
        <v>37725300</v>
      </c>
      <c r="C27" s="19">
        <v>26</v>
      </c>
      <c r="D27" s="18">
        <v>2.2000000000000002</v>
      </c>
      <c r="E27" s="18">
        <f t="shared" si="0"/>
        <v>2.258</v>
      </c>
    </row>
    <row r="28" spans="1:5" ht="18" x14ac:dyDescent="0.2">
      <c r="A28" s="17">
        <v>45855</v>
      </c>
      <c r="B28" s="19">
        <v>20389500</v>
      </c>
      <c r="C28" s="19">
        <v>27</v>
      </c>
      <c r="D28" s="18">
        <v>2.2200000000000002</v>
      </c>
      <c r="E28" s="18">
        <f t="shared" si="0"/>
        <v>2.2559999999999993</v>
      </c>
    </row>
    <row r="29" spans="1:5" ht="18" x14ac:dyDescent="0.2">
      <c r="A29" s="17">
        <v>45856</v>
      </c>
      <c r="B29" s="19">
        <v>24981900</v>
      </c>
      <c r="C29" s="19">
        <v>28</v>
      </c>
      <c r="D29" s="18">
        <v>2.23</v>
      </c>
      <c r="E29" s="18">
        <f t="shared" si="0"/>
        <v>2.2360000000000002</v>
      </c>
    </row>
    <row r="30" spans="1:5" ht="18" x14ac:dyDescent="0.2">
      <c r="A30" s="17">
        <v>45859</v>
      </c>
      <c r="B30" s="19">
        <v>40614100</v>
      </c>
      <c r="C30" s="19">
        <v>29</v>
      </c>
      <c r="D30" s="18">
        <v>2.27</v>
      </c>
      <c r="E30" s="18">
        <f>AVERAGE(D25:D29)</f>
        <v>2.2220000000000004</v>
      </c>
    </row>
    <row r="31" spans="1:5" ht="18" x14ac:dyDescent="0.2">
      <c r="A31" s="17">
        <v>45860</v>
      </c>
      <c r="B31" s="19">
        <v>44448100</v>
      </c>
      <c r="C31" s="19">
        <v>30</v>
      </c>
      <c r="D31" s="18">
        <v>2.5</v>
      </c>
      <c r="E31" s="18">
        <f t="shared" si="0"/>
        <v>2.2160000000000002</v>
      </c>
    </row>
    <row r="32" spans="1:5" ht="18" x14ac:dyDescent="0.2">
      <c r="A32" s="17">
        <v>45861</v>
      </c>
      <c r="B32" s="19">
        <v>31688400</v>
      </c>
      <c r="C32" s="19">
        <v>31</v>
      </c>
      <c r="D32" s="18">
        <v>2.4</v>
      </c>
      <c r="E32" s="18">
        <f t="shared" si="0"/>
        <v>2.2839999999999998</v>
      </c>
    </row>
    <row r="33" spans="1:9" ht="18" x14ac:dyDescent="0.2">
      <c r="A33" s="17">
        <v>45862</v>
      </c>
      <c r="B33" s="19">
        <v>30007900</v>
      </c>
      <c r="C33" s="19">
        <v>32</v>
      </c>
      <c r="D33" s="18">
        <v>2.35</v>
      </c>
      <c r="E33" s="18">
        <f t="shared" si="0"/>
        <v>2.3240000000000003</v>
      </c>
    </row>
    <row r="34" spans="1:9" ht="18" x14ac:dyDescent="0.2">
      <c r="A34" s="17">
        <v>45863</v>
      </c>
      <c r="B34" s="19">
        <v>20552500</v>
      </c>
      <c r="C34" s="19">
        <v>33</v>
      </c>
      <c r="D34" s="18">
        <v>2.27</v>
      </c>
      <c r="E34" s="18">
        <f t="shared" si="0"/>
        <v>2.35</v>
      </c>
    </row>
    <row r="35" spans="1:9" ht="18" x14ac:dyDescent="0.2">
      <c r="A35" s="17">
        <v>45866</v>
      </c>
      <c r="B35" s="19">
        <v>16793500</v>
      </c>
      <c r="C35" s="19">
        <v>34</v>
      </c>
      <c r="D35" s="18">
        <v>2.2200000000000002</v>
      </c>
      <c r="E35" s="18">
        <f t="shared" si="0"/>
        <v>2.3579999999999997</v>
      </c>
    </row>
    <row r="36" spans="1:9" ht="18" x14ac:dyDescent="0.2">
      <c r="A36" s="17">
        <v>45867</v>
      </c>
      <c r="B36" s="19">
        <v>33185400</v>
      </c>
      <c r="C36" s="19">
        <v>35</v>
      </c>
      <c r="D36" s="18">
        <v>2.15</v>
      </c>
      <c r="E36" s="18">
        <f t="shared" si="0"/>
        <v>2.3479999999999999</v>
      </c>
    </row>
    <row r="37" spans="1:9" ht="18" x14ac:dyDescent="0.2">
      <c r="A37" s="17">
        <v>45868</v>
      </c>
      <c r="B37" s="19">
        <v>30642000</v>
      </c>
      <c r="C37" s="19">
        <v>36</v>
      </c>
      <c r="D37" s="18">
        <v>2.19</v>
      </c>
      <c r="E37" s="18">
        <f t="shared" si="0"/>
        <v>2.278</v>
      </c>
    </row>
    <row r="38" spans="1:9" ht="18" x14ac:dyDescent="0.2">
      <c r="A38" s="17">
        <v>45869</v>
      </c>
      <c r="B38" s="19">
        <v>31412600</v>
      </c>
      <c r="C38" s="19">
        <v>37</v>
      </c>
      <c r="D38" s="18">
        <v>2.14</v>
      </c>
      <c r="E38" s="18">
        <f t="shared" si="0"/>
        <v>2.2359999999999998</v>
      </c>
    </row>
    <row r="39" spans="1:9" ht="18" x14ac:dyDescent="0.2">
      <c r="A39" s="17">
        <v>45870</v>
      </c>
      <c r="B39" s="19">
        <v>32909700</v>
      </c>
      <c r="C39" s="19">
        <v>38</v>
      </c>
      <c r="D39" s="18">
        <v>2.0299999999999998</v>
      </c>
      <c r="E39" s="18">
        <f>AVERAGE(D34:D38)</f>
        <v>2.194</v>
      </c>
    </row>
    <row r="42" spans="1:9" x14ac:dyDescent="0.2">
      <c r="A42" s="27" t="s">
        <v>78</v>
      </c>
    </row>
    <row r="44" spans="1:9" x14ac:dyDescent="0.2">
      <c r="A44" t="s">
        <v>6</v>
      </c>
      <c r="B44"/>
      <c r="C44"/>
      <c r="D44"/>
      <c r="F44"/>
      <c r="G44"/>
      <c r="H44"/>
      <c r="I44"/>
    </row>
    <row r="45" spans="1:9" ht="17" thickBot="1" x14ac:dyDescent="0.25">
      <c r="A45"/>
      <c r="B45"/>
      <c r="C45"/>
      <c r="D45"/>
      <c r="F45"/>
      <c r="G45"/>
      <c r="H45"/>
      <c r="I45"/>
    </row>
    <row r="46" spans="1:9" x14ac:dyDescent="0.2">
      <c r="A46" s="31" t="s">
        <v>7</v>
      </c>
      <c r="B46" s="31"/>
      <c r="C46"/>
      <c r="D46"/>
      <c r="F46"/>
      <c r="G46"/>
      <c r="H46"/>
      <c r="I46"/>
    </row>
    <row r="47" spans="1:9" x14ac:dyDescent="0.2">
      <c r="A47" s="28" t="s">
        <v>8</v>
      </c>
      <c r="B47" s="28">
        <v>0.671519751523321</v>
      </c>
      <c r="C47"/>
      <c r="D47"/>
      <c r="F47"/>
      <c r="G47"/>
      <c r="H47"/>
      <c r="I47"/>
    </row>
    <row r="48" spans="1:9" x14ac:dyDescent="0.2">
      <c r="A48" s="28" t="s">
        <v>9</v>
      </c>
      <c r="B48" s="28">
        <v>0.45093877668594273</v>
      </c>
      <c r="C48"/>
      <c r="D48"/>
      <c r="F48"/>
      <c r="G48"/>
      <c r="H48"/>
      <c r="I48"/>
    </row>
    <row r="49" spans="1:9" x14ac:dyDescent="0.2">
      <c r="A49" s="28" t="s">
        <v>10</v>
      </c>
      <c r="B49" s="28">
        <v>0.43568707603833001</v>
      </c>
      <c r="C49"/>
      <c r="D49"/>
      <c r="F49"/>
      <c r="G49"/>
      <c r="H49"/>
      <c r="I49"/>
    </row>
    <row r="50" spans="1:9" x14ac:dyDescent="0.2">
      <c r="A50" s="28" t="s">
        <v>11</v>
      </c>
      <c r="B50" s="28">
        <v>0.16745343532211968</v>
      </c>
      <c r="C50"/>
      <c r="D50"/>
      <c r="F50"/>
      <c r="G50"/>
      <c r="H50"/>
      <c r="I50"/>
    </row>
    <row r="51" spans="1:9" ht="17" thickBot="1" x14ac:dyDescent="0.25">
      <c r="A51" s="29" t="s">
        <v>12</v>
      </c>
      <c r="B51" s="29">
        <v>38</v>
      </c>
      <c r="C51"/>
      <c r="D51"/>
      <c r="F51"/>
      <c r="G51"/>
      <c r="H51"/>
      <c r="I51"/>
    </row>
    <row r="52" spans="1:9" x14ac:dyDescent="0.2">
      <c r="A52"/>
      <c r="B52"/>
      <c r="C52"/>
      <c r="D52"/>
      <c r="F52"/>
      <c r="G52"/>
      <c r="H52"/>
      <c r="I52"/>
    </row>
    <row r="53" spans="1:9" ht="17" thickBot="1" x14ac:dyDescent="0.25">
      <c r="A53" t="s">
        <v>13</v>
      </c>
      <c r="B53"/>
      <c r="C53"/>
      <c r="D53"/>
      <c r="F53"/>
      <c r="G53"/>
      <c r="H53"/>
      <c r="I53"/>
    </row>
    <row r="54" spans="1:9" x14ac:dyDescent="0.2">
      <c r="A54" s="30"/>
      <c r="B54" s="30" t="s">
        <v>18</v>
      </c>
      <c r="C54" s="30" t="s">
        <v>19</v>
      </c>
      <c r="D54" s="30" t="s">
        <v>20</v>
      </c>
      <c r="E54" s="30" t="s">
        <v>21</v>
      </c>
      <c r="F54" s="30" t="s">
        <v>22</v>
      </c>
      <c r="G54"/>
      <c r="H54"/>
      <c r="I54"/>
    </row>
    <row r="55" spans="1:9" x14ac:dyDescent="0.2">
      <c r="A55" s="28" t="s">
        <v>14</v>
      </c>
      <c r="B55" s="28">
        <v>1</v>
      </c>
      <c r="C55" s="28">
        <v>0.82906280774701879</v>
      </c>
      <c r="D55" s="28">
        <v>0.82906280774701879</v>
      </c>
      <c r="E55" s="28">
        <v>29.566458659580807</v>
      </c>
      <c r="F55" s="28">
        <v>3.9255080894231505E-6</v>
      </c>
      <c r="G55"/>
      <c r="H55"/>
      <c r="I55"/>
    </row>
    <row r="56" spans="1:9" x14ac:dyDescent="0.2">
      <c r="A56" s="28" t="s">
        <v>15</v>
      </c>
      <c r="B56" s="28">
        <v>36</v>
      </c>
      <c r="C56" s="28">
        <v>1.0094635080424554</v>
      </c>
      <c r="D56" s="28">
        <v>2.8040653001179319E-2</v>
      </c>
      <c r="E56" s="28"/>
      <c r="F56" s="28"/>
      <c r="G56"/>
      <c r="H56"/>
      <c r="I56"/>
    </row>
    <row r="57" spans="1:9" ht="17" thickBot="1" x14ac:dyDescent="0.25">
      <c r="A57" s="29" t="s">
        <v>16</v>
      </c>
      <c r="B57" s="29">
        <v>37</v>
      </c>
      <c r="C57" s="29">
        <v>1.8385263157894742</v>
      </c>
      <c r="D57" s="29"/>
      <c r="E57" s="29"/>
      <c r="F57" s="29"/>
      <c r="G57"/>
      <c r="H57"/>
      <c r="I57"/>
    </row>
    <row r="58" spans="1:9" ht="17" thickBot="1" x14ac:dyDescent="0.25">
      <c r="A58"/>
      <c r="B58"/>
      <c r="C58"/>
      <c r="D58"/>
      <c r="F58"/>
      <c r="G58"/>
      <c r="H58"/>
      <c r="I58"/>
    </row>
    <row r="59" spans="1:9" x14ac:dyDescent="0.2">
      <c r="A59" s="30"/>
      <c r="B59" s="30" t="s">
        <v>23</v>
      </c>
      <c r="C59" s="30" t="s">
        <v>11</v>
      </c>
      <c r="D59" s="30" t="s">
        <v>24</v>
      </c>
      <c r="E59" s="30" t="s">
        <v>25</v>
      </c>
      <c r="F59" s="30" t="s">
        <v>26</v>
      </c>
      <c r="G59" s="30" t="s">
        <v>27</v>
      </c>
      <c r="H59" s="30" t="s">
        <v>28</v>
      </c>
      <c r="I59" s="30" t="s">
        <v>29</v>
      </c>
    </row>
    <row r="60" spans="1:9" x14ac:dyDescent="0.2">
      <c r="A60" s="28" t="s">
        <v>17</v>
      </c>
      <c r="B60" s="28">
        <v>1.8231294452347084</v>
      </c>
      <c r="C60" s="28">
        <v>5.54193926071265E-2</v>
      </c>
      <c r="D60" s="28">
        <v>32.896958257176358</v>
      </c>
      <c r="E60" s="28">
        <v>1.8515057266804026E-28</v>
      </c>
      <c r="F60" s="28">
        <v>1.7107337075502147</v>
      </c>
      <c r="G60" s="28">
        <v>1.9355251829192022</v>
      </c>
      <c r="H60" s="28">
        <v>1.7107337075502147</v>
      </c>
      <c r="I60" s="28">
        <v>1.9355251829192022</v>
      </c>
    </row>
    <row r="61" spans="1:9" ht="17" thickBot="1" x14ac:dyDescent="0.25">
      <c r="A61" s="29" t="s">
        <v>34</v>
      </c>
      <c r="B61" s="29">
        <v>1.3469745048692416E-2</v>
      </c>
      <c r="C61" s="29">
        <v>2.477192296171906E-3</v>
      </c>
      <c r="D61" s="29">
        <v>5.4375048192696607</v>
      </c>
      <c r="E61" s="29">
        <v>3.9255080894231708E-6</v>
      </c>
      <c r="F61" s="29">
        <v>8.4457662135511823E-3</v>
      </c>
      <c r="G61" s="29">
        <v>1.8493723883833649E-2</v>
      </c>
      <c r="H61" s="29">
        <v>8.4457662135511823E-3</v>
      </c>
      <c r="I61" s="29">
        <v>1.8493723883833649E-2</v>
      </c>
    </row>
    <row r="62" spans="1:9" x14ac:dyDescent="0.2">
      <c r="A62"/>
      <c r="B62"/>
      <c r="C62"/>
      <c r="D62"/>
      <c r="F62"/>
      <c r="G62"/>
      <c r="H62"/>
      <c r="I62"/>
    </row>
    <row r="63" spans="1:9" x14ac:dyDescent="0.2">
      <c r="A63"/>
      <c r="B63"/>
      <c r="C63"/>
      <c r="D63"/>
      <c r="F63"/>
      <c r="G63"/>
      <c r="H63"/>
      <c r="I63"/>
    </row>
    <row r="64" spans="1:9" x14ac:dyDescent="0.2">
      <c r="A64"/>
      <c r="B64"/>
      <c r="C64"/>
      <c r="D64"/>
      <c r="F64"/>
      <c r="G64"/>
      <c r="H64"/>
      <c r="I64"/>
    </row>
    <row r="65" spans="1:9" x14ac:dyDescent="0.2">
      <c r="A65" t="s">
        <v>30</v>
      </c>
      <c r="B65"/>
      <c r="C65"/>
      <c r="D65"/>
      <c r="F65"/>
      <c r="G65"/>
      <c r="H65"/>
      <c r="I65"/>
    </row>
    <row r="66" spans="1:9" ht="17" thickBot="1" x14ac:dyDescent="0.25">
      <c r="A66"/>
      <c r="B66"/>
      <c r="C66"/>
      <c r="D66"/>
      <c r="F66"/>
      <c r="G66"/>
      <c r="H66"/>
      <c r="I66"/>
    </row>
    <row r="67" spans="1:9" x14ac:dyDescent="0.2">
      <c r="A67" s="30" t="s">
        <v>31</v>
      </c>
      <c r="B67" s="30" t="s">
        <v>35</v>
      </c>
      <c r="C67" s="30" t="s">
        <v>32</v>
      </c>
      <c r="D67" s="30" t="s">
        <v>33</v>
      </c>
      <c r="F67"/>
      <c r="G67"/>
      <c r="H67"/>
      <c r="I67"/>
    </row>
    <row r="68" spans="1:9" x14ac:dyDescent="0.2">
      <c r="A68" s="28">
        <v>1</v>
      </c>
      <c r="B68" s="28">
        <v>1.8365991902834009</v>
      </c>
      <c r="C68" s="28">
        <v>0.17340080971659888</v>
      </c>
      <c r="D68" s="28">
        <v>1.0498002484875186</v>
      </c>
      <c r="F68"/>
      <c r="G68"/>
      <c r="H68"/>
      <c r="I68"/>
    </row>
    <row r="69" spans="1:9" x14ac:dyDescent="0.2">
      <c r="A69" s="28">
        <v>2</v>
      </c>
      <c r="B69" s="28">
        <v>1.8500689353320934</v>
      </c>
      <c r="C69" s="28">
        <v>0.16993106466790664</v>
      </c>
      <c r="D69" s="28">
        <v>1.0287937767169502</v>
      </c>
      <c r="F69"/>
      <c r="G69"/>
      <c r="H69"/>
      <c r="I69"/>
    </row>
    <row r="70" spans="1:9" x14ac:dyDescent="0.2">
      <c r="A70" s="28">
        <v>3</v>
      </c>
      <c r="B70" s="28">
        <v>1.8635386803807856</v>
      </c>
      <c r="C70" s="28">
        <v>0.13646131961921437</v>
      </c>
      <c r="D70" s="28">
        <v>0.82616181250434262</v>
      </c>
      <c r="F70"/>
      <c r="G70"/>
      <c r="H70"/>
      <c r="I70"/>
    </row>
    <row r="71" spans="1:9" x14ac:dyDescent="0.2">
      <c r="A71" s="28">
        <v>4</v>
      </c>
      <c r="B71" s="28">
        <v>1.8770084254294781</v>
      </c>
      <c r="C71" s="28">
        <v>7.2991574570521855E-2</v>
      </c>
      <c r="D71" s="28">
        <v>0.44190435584969462</v>
      </c>
      <c r="F71"/>
      <c r="G71"/>
      <c r="H71"/>
      <c r="I71"/>
    </row>
    <row r="72" spans="1:9" x14ac:dyDescent="0.2">
      <c r="A72" s="28">
        <v>5</v>
      </c>
      <c r="B72" s="28">
        <v>1.8904781704781706</v>
      </c>
      <c r="C72" s="28">
        <v>-4.7817047817066971E-4</v>
      </c>
      <c r="D72" s="28">
        <v>-2.894931618966437E-3</v>
      </c>
      <c r="F72"/>
      <c r="G72"/>
      <c r="H72"/>
      <c r="I72"/>
    </row>
    <row r="73" spans="1:9" x14ac:dyDescent="0.2">
      <c r="A73" s="28">
        <v>6</v>
      </c>
      <c r="B73" s="28">
        <v>1.9039479155268628</v>
      </c>
      <c r="C73" s="28">
        <v>-3.9479155268629107E-3</v>
      </c>
      <c r="D73" s="28">
        <v>-2.3901403389534923E-2</v>
      </c>
      <c r="F73"/>
      <c r="G73"/>
      <c r="H73"/>
      <c r="I73"/>
    </row>
    <row r="74" spans="1:9" x14ac:dyDescent="0.2">
      <c r="A74" s="28">
        <v>7</v>
      </c>
      <c r="B74" s="28">
        <v>1.9174176605755553</v>
      </c>
      <c r="C74" s="28">
        <v>-0.15741766057555528</v>
      </c>
      <c r="D74" s="28">
        <v>-0.95303533737029889</v>
      </c>
      <c r="F74"/>
      <c r="G74"/>
      <c r="H74"/>
      <c r="I74"/>
    </row>
    <row r="75" spans="1:9" x14ac:dyDescent="0.2">
      <c r="A75" s="28">
        <v>8</v>
      </c>
      <c r="B75" s="28">
        <v>1.9308874056242478</v>
      </c>
      <c r="C75" s="28">
        <v>-0.17088740562424776</v>
      </c>
      <c r="D75" s="28">
        <v>-1.0345836399548818</v>
      </c>
      <c r="F75"/>
      <c r="G75"/>
      <c r="H75"/>
      <c r="I75"/>
    </row>
    <row r="76" spans="1:9" x14ac:dyDescent="0.2">
      <c r="A76" s="28">
        <v>9</v>
      </c>
      <c r="B76" s="28">
        <v>1.9443571506729402</v>
      </c>
      <c r="C76" s="28">
        <v>-0.24435715067294028</v>
      </c>
      <c r="D76" s="28">
        <v>-1.4793829274235428</v>
      </c>
      <c r="F76"/>
      <c r="G76"/>
      <c r="H76"/>
      <c r="I76"/>
    </row>
    <row r="77" spans="1:9" x14ac:dyDescent="0.2">
      <c r="A77" s="28">
        <v>10</v>
      </c>
      <c r="B77" s="28">
        <v>1.9578268957216327</v>
      </c>
      <c r="C77" s="28">
        <v>-0.28782689572163278</v>
      </c>
      <c r="D77" s="28">
        <v>-1.7425567224501648</v>
      </c>
      <c r="F77"/>
      <c r="G77"/>
      <c r="H77"/>
      <c r="I77"/>
    </row>
    <row r="78" spans="1:9" x14ac:dyDescent="0.2">
      <c r="A78" s="28">
        <v>11</v>
      </c>
      <c r="B78" s="28">
        <v>1.971296640770325</v>
      </c>
      <c r="C78" s="28">
        <v>-0.12129664077032487</v>
      </c>
      <c r="D78" s="28">
        <v>-0.73435207038251171</v>
      </c>
      <c r="F78"/>
      <c r="G78"/>
      <c r="H78"/>
      <c r="I78"/>
    </row>
    <row r="79" spans="1:9" x14ac:dyDescent="0.2">
      <c r="A79" s="28">
        <v>12</v>
      </c>
      <c r="B79" s="28">
        <v>1.9847663858190174</v>
      </c>
      <c r="C79" s="28">
        <v>-0.2047663858190174</v>
      </c>
      <c r="D79" s="28">
        <v>-1.2396931886651859</v>
      </c>
      <c r="F79"/>
      <c r="G79"/>
      <c r="H79"/>
      <c r="I79"/>
    </row>
    <row r="80" spans="1:9" x14ac:dyDescent="0.2">
      <c r="A80" s="28">
        <v>13</v>
      </c>
      <c r="B80" s="28">
        <v>1.9982361308677099</v>
      </c>
      <c r="C80" s="28">
        <v>-0.20823613086770987</v>
      </c>
      <c r="D80" s="28">
        <v>-1.2606996604357557</v>
      </c>
      <c r="F80"/>
      <c r="G80"/>
      <c r="H80"/>
      <c r="I80"/>
    </row>
    <row r="81" spans="1:9" x14ac:dyDescent="0.2">
      <c r="A81" s="28">
        <v>14</v>
      </c>
      <c r="B81" s="28">
        <v>2.0117058759164022</v>
      </c>
      <c r="C81" s="28">
        <v>-0.21170587591640211</v>
      </c>
      <c r="D81" s="28">
        <v>-1.2817061322063241</v>
      </c>
      <c r="F81"/>
      <c r="G81"/>
      <c r="H81"/>
      <c r="I81"/>
    </row>
    <row r="82" spans="1:9" x14ac:dyDescent="0.2">
      <c r="A82" s="28">
        <v>15</v>
      </c>
      <c r="B82" s="28">
        <v>2.0251756209650948</v>
      </c>
      <c r="C82" s="28">
        <v>-0.2251756209650948</v>
      </c>
      <c r="D82" s="28">
        <v>-1.3632544347909084</v>
      </c>
      <c r="F82"/>
      <c r="G82"/>
      <c r="H82"/>
      <c r="I82"/>
    </row>
    <row r="83" spans="1:9" x14ac:dyDescent="0.2">
      <c r="A83" s="28">
        <v>16</v>
      </c>
      <c r="B83" s="28">
        <v>2.0386453660137871</v>
      </c>
      <c r="C83" s="28">
        <v>3.1354633986212743E-2</v>
      </c>
      <c r="D83" s="28">
        <v>0.18982669460285934</v>
      </c>
      <c r="F83"/>
      <c r="G83"/>
      <c r="H83"/>
      <c r="I83"/>
    </row>
    <row r="84" spans="1:9" x14ac:dyDescent="0.2">
      <c r="A84" s="28">
        <v>17</v>
      </c>
      <c r="B84" s="28">
        <v>2.0521151110624793</v>
      </c>
      <c r="C84" s="28">
        <v>0.19788488893752065</v>
      </c>
      <c r="D84" s="28">
        <v>1.1980313466705124</v>
      </c>
      <c r="F84"/>
      <c r="G84"/>
      <c r="H84"/>
      <c r="I84"/>
    </row>
    <row r="85" spans="1:9" x14ac:dyDescent="0.2">
      <c r="A85" s="28">
        <v>18</v>
      </c>
      <c r="B85" s="28">
        <v>2.065584856111172</v>
      </c>
      <c r="C85" s="28">
        <v>0.24441514388882801</v>
      </c>
      <c r="D85" s="28">
        <v>1.4797340289700063</v>
      </c>
      <c r="F85"/>
      <c r="G85"/>
      <c r="H85"/>
      <c r="I85"/>
    </row>
    <row r="86" spans="1:9" x14ac:dyDescent="0.2">
      <c r="A86" s="28">
        <v>19</v>
      </c>
      <c r="B86" s="28">
        <v>2.0790546011598643</v>
      </c>
      <c r="C86" s="28">
        <v>0.19094539884013573</v>
      </c>
      <c r="D86" s="28">
        <v>1.1560184031293728</v>
      </c>
      <c r="F86"/>
      <c r="G86"/>
      <c r="H86"/>
      <c r="I86"/>
    </row>
    <row r="87" spans="1:9" x14ac:dyDescent="0.2">
      <c r="A87" s="28">
        <v>20</v>
      </c>
      <c r="B87" s="28">
        <v>2.092524346208557</v>
      </c>
      <c r="C87" s="28">
        <v>0.12747565379144321</v>
      </c>
      <c r="D87" s="28">
        <v>0.77176094647472471</v>
      </c>
      <c r="F87"/>
      <c r="G87"/>
      <c r="H87"/>
      <c r="I87"/>
    </row>
    <row r="88" spans="1:9" x14ac:dyDescent="0.2">
      <c r="A88" s="28">
        <v>21</v>
      </c>
      <c r="B88" s="28">
        <v>2.1059940912572492</v>
      </c>
      <c r="C88" s="28">
        <v>0.10400590874275073</v>
      </c>
      <c r="D88" s="28">
        <v>0.62967081307612882</v>
      </c>
      <c r="F88"/>
      <c r="G88"/>
      <c r="H88"/>
      <c r="I88"/>
    </row>
    <row r="89" spans="1:9" x14ac:dyDescent="0.2">
      <c r="A89" s="28">
        <v>22</v>
      </c>
      <c r="B89" s="28">
        <v>2.1194638363059415</v>
      </c>
      <c r="C89" s="28">
        <v>0.20053616369405836</v>
      </c>
      <c r="D89" s="28">
        <v>1.2140826494456893</v>
      </c>
      <c r="F89"/>
      <c r="G89"/>
      <c r="H89"/>
      <c r="I89"/>
    </row>
    <row r="90" spans="1:9" x14ac:dyDescent="0.2">
      <c r="A90" s="28">
        <v>23</v>
      </c>
      <c r="B90" s="28">
        <v>2.1329335813546342</v>
      </c>
      <c r="C90" s="28">
        <v>0.16706641864536564</v>
      </c>
      <c r="D90" s="28">
        <v>1.0114506852330791</v>
      </c>
      <c r="F90"/>
      <c r="G90"/>
      <c r="H90"/>
      <c r="I90"/>
    </row>
    <row r="91" spans="1:9" x14ac:dyDescent="0.2">
      <c r="A91" s="28">
        <v>24</v>
      </c>
      <c r="B91" s="28">
        <v>2.1464033264033264</v>
      </c>
      <c r="C91" s="28">
        <v>0.15359667359667339</v>
      </c>
      <c r="D91" s="28">
        <v>0.92990238264849745</v>
      </c>
      <c r="F91"/>
      <c r="G91"/>
      <c r="H91"/>
      <c r="I91"/>
    </row>
    <row r="92" spans="1:9" x14ac:dyDescent="0.2">
      <c r="A92" s="28">
        <v>25</v>
      </c>
      <c r="B92" s="28">
        <v>2.1598730714520187</v>
      </c>
      <c r="C92" s="28">
        <v>1.2692854798146413E-4</v>
      </c>
      <c r="D92" s="28">
        <v>7.6844866773621303E-4</v>
      </c>
      <c r="F92"/>
      <c r="G92"/>
      <c r="H92"/>
      <c r="I92"/>
    </row>
    <row r="93" spans="1:9" x14ac:dyDescent="0.2">
      <c r="A93" s="28">
        <v>26</v>
      </c>
      <c r="B93" s="28">
        <v>2.1733428165007114</v>
      </c>
      <c r="C93" s="28">
        <v>2.6657183499288806E-2</v>
      </c>
      <c r="D93" s="28">
        <v>0.16138746933920414</v>
      </c>
      <c r="F93"/>
      <c r="G93"/>
      <c r="H93"/>
      <c r="I93"/>
    </row>
    <row r="94" spans="1:9" x14ac:dyDescent="0.2">
      <c r="A94" s="28">
        <v>27</v>
      </c>
      <c r="B94" s="28">
        <v>2.1868125615494036</v>
      </c>
      <c r="C94" s="28">
        <v>3.3187438450596574E-2</v>
      </c>
      <c r="D94" s="28">
        <v>0.20092282838264869</v>
      </c>
      <c r="F94"/>
      <c r="G94"/>
      <c r="H94"/>
      <c r="I94"/>
    </row>
    <row r="95" spans="1:9" x14ac:dyDescent="0.2">
      <c r="A95" s="28">
        <v>28</v>
      </c>
      <c r="B95" s="28">
        <v>2.2002823065980959</v>
      </c>
      <c r="C95" s="28">
        <v>2.9717693401904111E-2</v>
      </c>
      <c r="D95" s="28">
        <v>0.17991635661207886</v>
      </c>
      <c r="F95"/>
      <c r="G95"/>
      <c r="H95"/>
      <c r="I95"/>
    </row>
    <row r="96" spans="1:9" x14ac:dyDescent="0.2">
      <c r="A96" s="28">
        <v>29</v>
      </c>
      <c r="B96" s="28">
        <v>2.2137520516467886</v>
      </c>
      <c r="C96" s="28">
        <v>5.6247948353211452E-2</v>
      </c>
      <c r="D96" s="28">
        <v>0.34053537728354677</v>
      </c>
      <c r="F96"/>
      <c r="G96"/>
      <c r="H96"/>
      <c r="I96"/>
    </row>
    <row r="97" spans="1:9" x14ac:dyDescent="0.2">
      <c r="A97" s="28">
        <v>30</v>
      </c>
      <c r="B97" s="28">
        <v>2.2272217966954808</v>
      </c>
      <c r="C97" s="28">
        <v>0.27277820330451918</v>
      </c>
      <c r="D97" s="28">
        <v>1.6514491834212637</v>
      </c>
      <c r="F97"/>
      <c r="G97"/>
      <c r="H97"/>
      <c r="I97"/>
    </row>
    <row r="98" spans="1:9" x14ac:dyDescent="0.2">
      <c r="A98" s="28">
        <v>31</v>
      </c>
      <c r="B98" s="28">
        <v>2.2406915417441735</v>
      </c>
      <c r="C98" s="28">
        <v>0.1593084582558264</v>
      </c>
      <c r="D98" s="28">
        <v>0.96448257269654913</v>
      </c>
      <c r="F98"/>
      <c r="G98"/>
      <c r="H98"/>
      <c r="I98"/>
    </row>
    <row r="99" spans="1:9" x14ac:dyDescent="0.2">
      <c r="A99" s="28">
        <v>32</v>
      </c>
      <c r="B99" s="28">
        <v>2.2541612867928658</v>
      </c>
      <c r="C99" s="28">
        <v>9.583871320713433E-2</v>
      </c>
      <c r="D99" s="28">
        <v>0.58022511604190374</v>
      </c>
      <c r="F99"/>
      <c r="G99"/>
      <c r="H99"/>
      <c r="I99"/>
    </row>
    <row r="100" spans="1:9" x14ac:dyDescent="0.2">
      <c r="A100" s="28">
        <v>33</v>
      </c>
      <c r="B100" s="28">
        <v>2.267631031841558</v>
      </c>
      <c r="C100" s="28">
        <v>2.3689681584420086E-3</v>
      </c>
      <c r="D100" s="28">
        <v>1.4342166945217998E-2</v>
      </c>
      <c r="F100"/>
      <c r="G100"/>
      <c r="H100"/>
      <c r="I100"/>
    </row>
    <row r="101" spans="1:9" x14ac:dyDescent="0.2">
      <c r="A101" s="28">
        <v>34</v>
      </c>
      <c r="B101" s="28">
        <v>2.2811007768902507</v>
      </c>
      <c r="C101" s="28">
        <v>-6.1100776890250508E-2</v>
      </c>
      <c r="D101" s="28">
        <v>-0.36991528970943005</v>
      </c>
      <c r="F101"/>
      <c r="G101"/>
      <c r="H101"/>
      <c r="I101"/>
    </row>
    <row r="102" spans="1:9" x14ac:dyDescent="0.2">
      <c r="A102" s="28">
        <v>35</v>
      </c>
      <c r="B102" s="28">
        <v>2.294570521938943</v>
      </c>
      <c r="C102" s="28">
        <v>-0.14457052193894304</v>
      </c>
      <c r="D102" s="28">
        <v>-0.87525640799210414</v>
      </c>
      <c r="F102"/>
      <c r="G102"/>
      <c r="H102"/>
      <c r="I102"/>
    </row>
    <row r="103" spans="1:9" x14ac:dyDescent="0.2">
      <c r="A103" s="28">
        <v>36</v>
      </c>
      <c r="B103" s="28">
        <v>2.3080402669876356</v>
      </c>
      <c r="C103" s="28">
        <v>-0.1180402669876357</v>
      </c>
      <c r="D103" s="28">
        <v>-0.7146373873206362</v>
      </c>
      <c r="F103"/>
      <c r="G103"/>
      <c r="H103"/>
      <c r="I103"/>
    </row>
    <row r="104" spans="1:9" x14ac:dyDescent="0.2">
      <c r="A104" s="28">
        <v>37</v>
      </c>
      <c r="B104" s="28">
        <v>2.3215100120363279</v>
      </c>
      <c r="C104" s="28">
        <v>-0.18151001203632777</v>
      </c>
      <c r="D104" s="28">
        <v>-1.0988948439752815</v>
      </c>
      <c r="F104"/>
      <c r="G104"/>
      <c r="H104"/>
      <c r="I104"/>
    </row>
    <row r="105" spans="1:9" ht="17" thickBot="1" x14ac:dyDescent="0.25">
      <c r="A105" s="29">
        <v>38</v>
      </c>
      <c r="B105" s="29">
        <v>2.3349797570850201</v>
      </c>
      <c r="C105" s="29">
        <v>-0.30497975708502034</v>
      </c>
      <c r="D105" s="29">
        <v>-1.8464032855140078</v>
      </c>
      <c r="F105"/>
      <c r="G105"/>
      <c r="H105"/>
      <c r="I105"/>
    </row>
    <row r="108" spans="1:9" x14ac:dyDescent="0.2">
      <c r="A108" s="15" t="s">
        <v>90</v>
      </c>
    </row>
    <row r="109" spans="1:9" x14ac:dyDescent="0.2">
      <c r="A109" s="16" t="s">
        <v>53</v>
      </c>
      <c r="B109" s="16" t="s">
        <v>54</v>
      </c>
      <c r="C109" s="16" t="s">
        <v>63</v>
      </c>
      <c r="D109" s="16" t="s">
        <v>64</v>
      </c>
    </row>
    <row r="110" spans="1:9" x14ac:dyDescent="0.2">
      <c r="A110" s="26">
        <v>45873</v>
      </c>
      <c r="B110" s="20">
        <v>18134400</v>
      </c>
      <c r="C110" s="16">
        <v>2.0499999999999998</v>
      </c>
      <c r="D110" s="16">
        <v>2.0699999999999998</v>
      </c>
    </row>
    <row r="111" spans="1:9" x14ac:dyDescent="0.2">
      <c r="A111" s="26">
        <v>45874</v>
      </c>
      <c r="B111" s="20">
        <v>11677200</v>
      </c>
      <c r="C111" s="16">
        <v>2.06</v>
      </c>
      <c r="D111" s="16">
        <v>2.0699999999999998</v>
      </c>
    </row>
    <row r="112" spans="1:9" x14ac:dyDescent="0.2">
      <c r="A112" s="26">
        <v>45875</v>
      </c>
      <c r="B112" s="20">
        <v>10333400</v>
      </c>
      <c r="C112" s="16">
        <v>2.0699999999999998</v>
      </c>
      <c r="D112" s="16">
        <v>2.12</v>
      </c>
    </row>
    <row r="113" spans="1:4" x14ac:dyDescent="0.2">
      <c r="A113" s="26">
        <v>45876</v>
      </c>
      <c r="B113" s="20">
        <v>10209800</v>
      </c>
      <c r="C113" s="16">
        <v>2.16</v>
      </c>
      <c r="D113" s="16">
        <v>2.1</v>
      </c>
    </row>
    <row r="114" spans="1:4" x14ac:dyDescent="0.2">
      <c r="A114" s="26">
        <v>45877</v>
      </c>
      <c r="B114" s="20">
        <v>9168700</v>
      </c>
      <c r="C114" s="16">
        <v>2.1</v>
      </c>
      <c r="D114" s="16">
        <v>2.0699999999999998</v>
      </c>
    </row>
    <row r="115" spans="1:4" x14ac:dyDescent="0.2">
      <c r="A115" s="26">
        <v>45880</v>
      </c>
      <c r="B115" s="20">
        <v>11585100</v>
      </c>
      <c r="C115" s="16">
        <v>2.14</v>
      </c>
      <c r="D115" s="16">
        <v>2.12</v>
      </c>
    </row>
    <row r="116" spans="1:4" x14ac:dyDescent="0.2">
      <c r="A116" s="26">
        <v>45881</v>
      </c>
      <c r="B116" s="20">
        <v>6304600</v>
      </c>
      <c r="C116" s="16">
        <v>2.13</v>
      </c>
      <c r="D116" s="16">
        <v>2.15</v>
      </c>
    </row>
    <row r="117" spans="1:4" x14ac:dyDescent="0.2">
      <c r="A117" s="26">
        <v>45882</v>
      </c>
      <c r="B117" s="20">
        <v>9107300</v>
      </c>
      <c r="C117" s="16">
        <v>2.16</v>
      </c>
      <c r="D117" s="16">
        <v>2.23</v>
      </c>
    </row>
    <row r="118" spans="1:4" x14ac:dyDescent="0.2">
      <c r="A118" s="26">
        <v>45883</v>
      </c>
      <c r="B118" s="20">
        <v>15354900</v>
      </c>
      <c r="C118" s="16">
        <v>2.17</v>
      </c>
      <c r="D118" s="16">
        <v>2.25</v>
      </c>
    </row>
    <row r="119" spans="1:4" x14ac:dyDescent="0.2">
      <c r="A119" s="26">
        <v>45884</v>
      </c>
      <c r="B119" s="20">
        <v>13996700</v>
      </c>
      <c r="C119" s="16">
        <v>2.25</v>
      </c>
      <c r="D119" s="16">
        <v>2.2200000000000002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ED46-4EBE-A541-A83B-9FAD3AAAF5E1}">
  <dimension ref="A1:M119"/>
  <sheetViews>
    <sheetView topLeftCell="A88" workbookViewId="0">
      <selection activeCell="G105" sqref="G105"/>
    </sheetView>
  </sheetViews>
  <sheetFormatPr baseColWidth="10" defaultRowHeight="16" x14ac:dyDescent="0.2"/>
  <cols>
    <col min="1" max="1" width="11" style="1" bestFit="1" customWidth="1"/>
    <col min="2" max="2" width="11.83203125" style="1" bestFit="1" customWidth="1"/>
    <col min="3" max="4" width="11" style="1" bestFit="1" customWidth="1"/>
    <col min="6" max="16384" width="10.83203125" style="1"/>
  </cols>
  <sheetData>
    <row r="1" spans="1:6" x14ac:dyDescent="0.2">
      <c r="A1" s="16" t="s">
        <v>53</v>
      </c>
      <c r="B1" s="16" t="s">
        <v>54</v>
      </c>
      <c r="C1" s="16" t="s">
        <v>34</v>
      </c>
      <c r="D1" s="16" t="s">
        <v>55</v>
      </c>
      <c r="E1" s="1" t="s">
        <v>56</v>
      </c>
      <c r="F1" s="1" t="s">
        <v>57</v>
      </c>
    </row>
    <row r="2" spans="1:6" x14ac:dyDescent="0.2">
      <c r="A2" s="26">
        <v>45817</v>
      </c>
      <c r="B2" s="20">
        <v>5962900</v>
      </c>
      <c r="C2" s="16">
        <v>1</v>
      </c>
      <c r="D2" s="16">
        <v>18.55</v>
      </c>
      <c r="E2" s="1"/>
      <c r="F2" s="1" cm="1">
        <f t="array" ref="F2">SUMPRODUCT(--(D7:D39&gt;E7:E39))/33</f>
        <v>0.54545454545454541</v>
      </c>
    </row>
    <row r="3" spans="1:6" x14ac:dyDescent="0.2">
      <c r="A3" s="26">
        <v>45818</v>
      </c>
      <c r="B3" s="20">
        <v>4384100</v>
      </c>
      <c r="C3" s="16">
        <v>2</v>
      </c>
      <c r="D3" s="16">
        <v>18.53</v>
      </c>
      <c r="E3" s="16"/>
      <c r="F3" s="16"/>
    </row>
    <row r="4" spans="1:6" x14ac:dyDescent="0.2">
      <c r="A4" s="26">
        <v>45819</v>
      </c>
      <c r="B4" s="20">
        <v>4598300</v>
      </c>
      <c r="C4" s="16">
        <v>3</v>
      </c>
      <c r="D4" s="16">
        <v>18.52</v>
      </c>
      <c r="E4" s="16"/>
      <c r="F4" s="16"/>
    </row>
    <row r="5" spans="1:6" x14ac:dyDescent="0.2">
      <c r="A5" s="26">
        <v>45820</v>
      </c>
      <c r="B5" s="20">
        <v>4028900</v>
      </c>
      <c r="C5" s="16">
        <v>4</v>
      </c>
      <c r="D5" s="16">
        <v>18.36</v>
      </c>
      <c r="E5" s="16"/>
      <c r="F5" s="16"/>
    </row>
    <row r="6" spans="1:6" x14ac:dyDescent="0.2">
      <c r="A6" s="26">
        <v>45821</v>
      </c>
      <c r="B6" s="20">
        <v>4831600</v>
      </c>
      <c r="C6" s="16">
        <v>5</v>
      </c>
      <c r="D6" s="16">
        <v>17.48</v>
      </c>
      <c r="E6" s="16"/>
      <c r="F6" s="16"/>
    </row>
    <row r="7" spans="1:6" x14ac:dyDescent="0.2">
      <c r="A7" s="26">
        <v>45824</v>
      </c>
      <c r="B7" s="20">
        <v>4489900</v>
      </c>
      <c r="C7" s="16">
        <v>6</v>
      </c>
      <c r="D7" s="16">
        <v>18.46</v>
      </c>
      <c r="E7" s="16">
        <f>AVERAGE(D2:D6)</f>
        <v>18.288</v>
      </c>
      <c r="F7" s="16"/>
    </row>
    <row r="8" spans="1:6" x14ac:dyDescent="0.2">
      <c r="A8" s="26">
        <v>45825</v>
      </c>
      <c r="B8" s="20">
        <v>5327900</v>
      </c>
      <c r="C8" s="16">
        <v>7</v>
      </c>
      <c r="D8" s="16">
        <v>16.989999999999998</v>
      </c>
      <c r="E8" s="16">
        <f t="shared" ref="E8:E39" si="0">AVERAGE(D3:D7)</f>
        <v>18.27</v>
      </c>
    </row>
    <row r="9" spans="1:6" x14ac:dyDescent="0.2">
      <c r="A9" s="26">
        <v>45826</v>
      </c>
      <c r="B9" s="20">
        <v>5691400</v>
      </c>
      <c r="C9" s="16">
        <v>8</v>
      </c>
      <c r="D9" s="16">
        <v>17.03</v>
      </c>
      <c r="E9" s="16">
        <f t="shared" si="0"/>
        <v>17.961999999999996</v>
      </c>
    </row>
    <row r="10" spans="1:6" x14ac:dyDescent="0.2">
      <c r="A10" s="26">
        <v>45828</v>
      </c>
      <c r="B10" s="20">
        <v>6626000</v>
      </c>
      <c r="C10" s="16">
        <v>9</v>
      </c>
      <c r="D10" s="16">
        <v>16.7</v>
      </c>
      <c r="E10" s="16">
        <f t="shared" si="0"/>
        <v>17.664000000000001</v>
      </c>
    </row>
    <row r="11" spans="1:6" x14ac:dyDescent="0.2">
      <c r="A11" s="26">
        <v>45831</v>
      </c>
      <c r="B11" s="20">
        <v>7321400</v>
      </c>
      <c r="C11" s="16">
        <v>10</v>
      </c>
      <c r="D11" s="16">
        <v>15.89</v>
      </c>
      <c r="E11" s="16">
        <f t="shared" si="0"/>
        <v>17.332000000000001</v>
      </c>
    </row>
    <row r="12" spans="1:6" x14ac:dyDescent="0.2">
      <c r="A12" s="26">
        <v>45832</v>
      </c>
      <c r="B12" s="20">
        <v>5097300</v>
      </c>
      <c r="C12" s="16">
        <v>11</v>
      </c>
      <c r="D12" s="16">
        <v>17.239999999999998</v>
      </c>
      <c r="E12" s="16">
        <f t="shared" si="0"/>
        <v>17.014000000000003</v>
      </c>
    </row>
    <row r="13" spans="1:6" x14ac:dyDescent="0.2">
      <c r="A13" s="26">
        <v>45833</v>
      </c>
      <c r="B13" s="20">
        <v>6721900</v>
      </c>
      <c r="C13" s="16">
        <v>12</v>
      </c>
      <c r="D13" s="16">
        <v>17.45</v>
      </c>
      <c r="E13" s="16">
        <f t="shared" si="0"/>
        <v>16.77</v>
      </c>
    </row>
    <row r="14" spans="1:6" x14ac:dyDescent="0.2">
      <c r="A14" s="26">
        <v>45834</v>
      </c>
      <c r="B14" s="20">
        <v>9417100</v>
      </c>
      <c r="C14" s="16">
        <v>13</v>
      </c>
      <c r="D14" s="16">
        <v>18.68</v>
      </c>
      <c r="E14" s="16">
        <f t="shared" si="0"/>
        <v>16.862000000000002</v>
      </c>
    </row>
    <row r="15" spans="1:6" x14ac:dyDescent="0.2">
      <c r="A15" s="26">
        <v>45835</v>
      </c>
      <c r="B15" s="20">
        <v>7735000</v>
      </c>
      <c r="C15" s="16">
        <v>14</v>
      </c>
      <c r="D15" s="16">
        <v>17.66</v>
      </c>
      <c r="E15" s="16">
        <f t="shared" si="0"/>
        <v>17.192</v>
      </c>
    </row>
    <row r="16" spans="1:6" x14ac:dyDescent="0.2">
      <c r="A16" s="26">
        <v>45838</v>
      </c>
      <c r="B16" s="20">
        <v>5177000</v>
      </c>
      <c r="C16" s="16">
        <v>15</v>
      </c>
      <c r="D16" s="16">
        <v>18.600000000000001</v>
      </c>
      <c r="E16" s="16">
        <f t="shared" si="0"/>
        <v>17.383999999999997</v>
      </c>
    </row>
    <row r="17" spans="1:5" x14ac:dyDescent="0.2">
      <c r="A17" s="26">
        <v>45839</v>
      </c>
      <c r="B17" s="20">
        <v>6178500</v>
      </c>
      <c r="C17" s="16">
        <v>16</v>
      </c>
      <c r="D17" s="16">
        <v>18.48</v>
      </c>
      <c r="E17" s="16">
        <f t="shared" si="0"/>
        <v>17.925999999999998</v>
      </c>
    </row>
    <row r="18" spans="1:5" x14ac:dyDescent="0.2">
      <c r="A18" s="26">
        <v>45840</v>
      </c>
      <c r="B18" s="20">
        <v>16981400</v>
      </c>
      <c r="C18" s="16">
        <v>17</v>
      </c>
      <c r="D18" s="16">
        <v>21.08</v>
      </c>
      <c r="E18" s="16">
        <f t="shared" si="0"/>
        <v>18.173999999999999</v>
      </c>
    </row>
    <row r="19" spans="1:5" x14ac:dyDescent="0.2">
      <c r="A19" s="26">
        <v>45841</v>
      </c>
      <c r="B19" s="20">
        <v>6853600</v>
      </c>
      <c r="C19" s="16">
        <v>18</v>
      </c>
      <c r="D19" s="16">
        <v>21.9</v>
      </c>
      <c r="E19" s="16">
        <f t="shared" si="0"/>
        <v>18.899999999999999</v>
      </c>
    </row>
    <row r="20" spans="1:5" x14ac:dyDescent="0.2">
      <c r="A20" s="26">
        <v>45845</v>
      </c>
      <c r="B20" s="20">
        <v>8725600</v>
      </c>
      <c r="C20" s="16">
        <v>19</v>
      </c>
      <c r="D20" s="16">
        <v>21.2</v>
      </c>
      <c r="E20" s="16">
        <f t="shared" si="0"/>
        <v>19.544</v>
      </c>
    </row>
    <row r="21" spans="1:5" x14ac:dyDescent="0.2">
      <c r="A21" s="26">
        <v>45846</v>
      </c>
      <c r="B21" s="20">
        <v>5868300</v>
      </c>
      <c r="C21" s="16">
        <v>20</v>
      </c>
      <c r="D21" s="16">
        <v>20.89</v>
      </c>
      <c r="E21" s="16">
        <f t="shared" si="0"/>
        <v>20.252000000000002</v>
      </c>
    </row>
    <row r="22" spans="1:5" x14ac:dyDescent="0.2">
      <c r="A22" s="26">
        <v>45847</v>
      </c>
      <c r="B22" s="20">
        <v>5171400</v>
      </c>
      <c r="C22" s="16">
        <v>21</v>
      </c>
      <c r="D22" s="16">
        <v>21.27</v>
      </c>
      <c r="E22" s="16">
        <f t="shared" si="0"/>
        <v>20.71</v>
      </c>
    </row>
    <row r="23" spans="1:5" x14ac:dyDescent="0.2">
      <c r="A23" s="26">
        <v>45848</v>
      </c>
      <c r="B23" s="20">
        <v>6579600</v>
      </c>
      <c r="C23" s="16">
        <v>22</v>
      </c>
      <c r="D23" s="16">
        <v>22.07</v>
      </c>
      <c r="E23" s="16">
        <f t="shared" si="0"/>
        <v>21.267999999999997</v>
      </c>
    </row>
    <row r="24" spans="1:5" x14ac:dyDescent="0.2">
      <c r="A24" s="26">
        <v>45849</v>
      </c>
      <c r="B24" s="20">
        <v>5592800</v>
      </c>
      <c r="C24" s="16">
        <v>23</v>
      </c>
      <c r="D24" s="16">
        <v>21.83</v>
      </c>
      <c r="E24" s="16">
        <f t="shared" si="0"/>
        <v>21.465999999999998</v>
      </c>
    </row>
    <row r="25" spans="1:5" x14ac:dyDescent="0.2">
      <c r="A25" s="26">
        <v>45852</v>
      </c>
      <c r="B25" s="20">
        <v>6262300</v>
      </c>
      <c r="C25" s="16">
        <v>24</v>
      </c>
      <c r="D25" s="16">
        <v>22.12</v>
      </c>
      <c r="E25" s="16">
        <f t="shared" si="0"/>
        <v>21.452000000000002</v>
      </c>
    </row>
    <row r="26" spans="1:5" x14ac:dyDescent="0.2">
      <c r="A26" s="26">
        <v>45853</v>
      </c>
      <c r="B26" s="20">
        <v>3956600</v>
      </c>
      <c r="C26" s="16">
        <v>25</v>
      </c>
      <c r="D26" s="16">
        <v>21.56</v>
      </c>
      <c r="E26" s="16">
        <f t="shared" si="0"/>
        <v>21.635999999999999</v>
      </c>
    </row>
    <row r="27" spans="1:5" x14ac:dyDescent="0.2">
      <c r="A27" s="26">
        <v>45854</v>
      </c>
      <c r="B27" s="20">
        <v>5170000</v>
      </c>
      <c r="C27" s="16">
        <v>26</v>
      </c>
      <c r="D27" s="16">
        <v>22.24</v>
      </c>
      <c r="E27" s="16">
        <f t="shared" si="0"/>
        <v>21.770000000000003</v>
      </c>
    </row>
    <row r="28" spans="1:5" x14ac:dyDescent="0.2">
      <c r="A28" s="26">
        <v>45855</v>
      </c>
      <c r="B28" s="20">
        <v>4202200</v>
      </c>
      <c r="C28" s="16">
        <v>27</v>
      </c>
      <c r="D28" s="16">
        <v>22.12</v>
      </c>
      <c r="E28" s="16">
        <f t="shared" si="0"/>
        <v>21.963999999999999</v>
      </c>
    </row>
    <row r="29" spans="1:5" x14ac:dyDescent="0.2">
      <c r="A29" s="26">
        <v>45856</v>
      </c>
      <c r="B29" s="20">
        <v>5347400</v>
      </c>
      <c r="C29" s="16">
        <v>28</v>
      </c>
      <c r="D29" s="16">
        <v>21.62</v>
      </c>
      <c r="E29" s="16">
        <f t="shared" si="0"/>
        <v>21.974</v>
      </c>
    </row>
    <row r="30" spans="1:5" x14ac:dyDescent="0.2">
      <c r="A30" s="26">
        <v>45859</v>
      </c>
      <c r="B30" s="20">
        <v>5032100</v>
      </c>
      <c r="C30" s="16">
        <v>29</v>
      </c>
      <c r="D30" s="16">
        <v>21.34</v>
      </c>
      <c r="E30" s="16">
        <f t="shared" si="0"/>
        <v>21.932000000000002</v>
      </c>
    </row>
    <row r="31" spans="1:5" x14ac:dyDescent="0.2">
      <c r="A31" s="26">
        <v>45860</v>
      </c>
      <c r="B31" s="20">
        <v>4055000</v>
      </c>
      <c r="C31" s="16">
        <v>30</v>
      </c>
      <c r="D31" s="16">
        <v>21.4</v>
      </c>
      <c r="E31" s="16">
        <f t="shared" si="0"/>
        <v>21.776000000000003</v>
      </c>
    </row>
    <row r="32" spans="1:5" x14ac:dyDescent="0.2">
      <c r="A32" s="26">
        <v>45861</v>
      </c>
      <c r="B32" s="20">
        <v>4046100</v>
      </c>
      <c r="C32" s="16">
        <v>31</v>
      </c>
      <c r="D32" s="16">
        <v>21.65</v>
      </c>
      <c r="E32" s="16">
        <f t="shared" si="0"/>
        <v>21.744</v>
      </c>
    </row>
    <row r="33" spans="1:13" x14ac:dyDescent="0.2">
      <c r="A33" s="26">
        <v>45862</v>
      </c>
      <c r="B33" s="20">
        <v>3316700</v>
      </c>
      <c r="C33" s="16">
        <v>32</v>
      </c>
      <c r="D33" s="16">
        <v>21.14</v>
      </c>
      <c r="E33" s="16">
        <f t="shared" si="0"/>
        <v>21.625999999999998</v>
      </c>
    </row>
    <row r="34" spans="1:13" x14ac:dyDescent="0.2">
      <c r="A34" s="26">
        <v>45863</v>
      </c>
      <c r="B34" s="20">
        <v>3410000</v>
      </c>
      <c r="C34" s="16">
        <v>33</v>
      </c>
      <c r="D34" s="16">
        <v>20.38</v>
      </c>
      <c r="E34" s="16">
        <f t="shared" si="0"/>
        <v>21.43</v>
      </c>
    </row>
    <row r="35" spans="1:13" x14ac:dyDescent="0.2">
      <c r="A35" s="26">
        <v>45866</v>
      </c>
      <c r="B35" s="20">
        <v>2039900</v>
      </c>
      <c r="C35" s="16">
        <v>34</v>
      </c>
      <c r="D35" s="16">
        <v>20.329999999999998</v>
      </c>
      <c r="E35" s="16">
        <f>AVERAGE(D30:D34)</f>
        <v>21.181999999999995</v>
      </c>
    </row>
    <row r="36" spans="1:13" x14ac:dyDescent="0.2">
      <c r="A36" s="26">
        <v>45867</v>
      </c>
      <c r="B36" s="20">
        <v>3411600</v>
      </c>
      <c r="C36" s="16">
        <v>35</v>
      </c>
      <c r="D36" s="16">
        <v>19.7</v>
      </c>
      <c r="E36" s="16">
        <f t="shared" si="0"/>
        <v>20.979999999999997</v>
      </c>
    </row>
    <row r="37" spans="1:13" x14ac:dyDescent="0.2">
      <c r="A37" s="26">
        <v>45868</v>
      </c>
      <c r="B37" s="20">
        <v>3433700</v>
      </c>
      <c r="C37" s="16">
        <v>36</v>
      </c>
      <c r="D37" s="16">
        <v>19.82</v>
      </c>
      <c r="E37" s="16">
        <f t="shared" si="0"/>
        <v>20.64</v>
      </c>
    </row>
    <row r="38" spans="1:13" x14ac:dyDescent="0.2">
      <c r="A38" s="26">
        <v>45869</v>
      </c>
      <c r="B38" s="20">
        <v>7835200</v>
      </c>
      <c r="C38" s="16">
        <v>37</v>
      </c>
      <c r="D38" s="16">
        <v>21.23</v>
      </c>
      <c r="E38" s="16">
        <f t="shared" si="0"/>
        <v>20.274000000000001</v>
      </c>
    </row>
    <row r="39" spans="1:13" x14ac:dyDescent="0.2">
      <c r="A39" s="26">
        <v>45870</v>
      </c>
      <c r="B39" s="20">
        <v>4766500</v>
      </c>
      <c r="C39" s="16">
        <v>38</v>
      </c>
      <c r="D39" s="16">
        <v>19.78</v>
      </c>
      <c r="E39" s="16">
        <f>AVERAGE(D34:D38)</f>
        <v>20.291999999999998</v>
      </c>
    </row>
    <row r="42" spans="1:13" x14ac:dyDescent="0.2">
      <c r="A42" s="27" t="s">
        <v>79</v>
      </c>
    </row>
    <row r="44" spans="1:13" x14ac:dyDescent="0.2">
      <c r="A44" t="s">
        <v>6</v>
      </c>
      <c r="B44"/>
      <c r="C44"/>
      <c r="D44"/>
      <c r="F44"/>
      <c r="G44"/>
      <c r="H44"/>
      <c r="I44"/>
      <c r="M44" s="1">
        <f>41299/35215-1</f>
        <v>0.17276728666761332</v>
      </c>
    </row>
    <row r="45" spans="1:13" ht="17" thickBot="1" x14ac:dyDescent="0.25">
      <c r="A45"/>
      <c r="B45"/>
      <c r="C45"/>
      <c r="D45"/>
      <c r="F45"/>
      <c r="G45"/>
      <c r="H45"/>
      <c r="I45"/>
    </row>
    <row r="46" spans="1:13" x14ac:dyDescent="0.2">
      <c r="A46" s="31" t="s">
        <v>7</v>
      </c>
      <c r="B46" s="31"/>
      <c r="C46"/>
      <c r="D46"/>
      <c r="F46"/>
      <c r="G46"/>
      <c r="H46"/>
      <c r="I46"/>
    </row>
    <row r="47" spans="1:13" x14ac:dyDescent="0.2">
      <c r="A47" s="28" t="s">
        <v>8</v>
      </c>
      <c r="B47" s="28">
        <v>0.68375496630833121</v>
      </c>
      <c r="C47"/>
      <c r="D47"/>
      <c r="F47"/>
      <c r="G47"/>
      <c r="H47"/>
      <c r="I47"/>
    </row>
    <row r="48" spans="1:13" x14ac:dyDescent="0.2">
      <c r="A48" s="28" t="s">
        <v>9</v>
      </c>
      <c r="B48" s="28">
        <v>0.4675208539513071</v>
      </c>
      <c r="C48"/>
      <c r="D48"/>
      <c r="F48"/>
      <c r="G48"/>
      <c r="H48"/>
      <c r="I48"/>
    </row>
    <row r="49" spans="1:9" x14ac:dyDescent="0.2">
      <c r="A49" s="28" t="s">
        <v>10</v>
      </c>
      <c r="B49" s="28">
        <v>0.45272976656106562</v>
      </c>
      <c r="C49"/>
      <c r="D49"/>
      <c r="F49"/>
      <c r="G49"/>
      <c r="H49"/>
      <c r="I49"/>
    </row>
    <row r="50" spans="1:9" x14ac:dyDescent="0.2">
      <c r="A50" s="28" t="s">
        <v>11</v>
      </c>
      <c r="B50" s="28">
        <v>1.3982167737447577</v>
      </c>
      <c r="C50"/>
      <c r="D50"/>
      <c r="F50"/>
      <c r="G50"/>
      <c r="H50"/>
      <c r="I50"/>
    </row>
    <row r="51" spans="1:9" ht="17" thickBot="1" x14ac:dyDescent="0.25">
      <c r="A51" s="29" t="s">
        <v>12</v>
      </c>
      <c r="B51" s="29">
        <v>38</v>
      </c>
      <c r="C51"/>
      <c r="D51"/>
      <c r="F51"/>
      <c r="G51"/>
      <c r="H51"/>
      <c r="I51"/>
    </row>
    <row r="52" spans="1:9" x14ac:dyDescent="0.2">
      <c r="A52"/>
      <c r="B52"/>
      <c r="C52"/>
      <c r="D52"/>
      <c r="F52"/>
      <c r="G52"/>
      <c r="H52"/>
      <c r="I52"/>
    </row>
    <row r="53" spans="1:9" ht="17" thickBot="1" x14ac:dyDescent="0.25">
      <c r="A53" t="s">
        <v>13</v>
      </c>
      <c r="B53"/>
      <c r="C53"/>
      <c r="D53"/>
      <c r="F53"/>
      <c r="G53"/>
      <c r="H53"/>
      <c r="I53"/>
    </row>
    <row r="54" spans="1:9" x14ac:dyDescent="0.2">
      <c r="A54" s="30"/>
      <c r="B54" s="30" t="s">
        <v>18</v>
      </c>
      <c r="C54" s="30" t="s">
        <v>19</v>
      </c>
      <c r="D54" s="30" t="s">
        <v>20</v>
      </c>
      <c r="E54" s="30" t="s">
        <v>21</v>
      </c>
      <c r="F54" s="30" t="s">
        <v>22</v>
      </c>
      <c r="G54"/>
      <c r="H54"/>
      <c r="I54"/>
    </row>
    <row r="55" spans="1:9" x14ac:dyDescent="0.2">
      <c r="A55" s="28" t="s">
        <v>14</v>
      </c>
      <c r="B55" s="28">
        <v>1</v>
      </c>
      <c r="C55" s="28">
        <v>61.794511046066276</v>
      </c>
      <c r="D55" s="28">
        <v>61.794511046066276</v>
      </c>
      <c r="E55" s="28">
        <v>31.608281501991357</v>
      </c>
      <c r="F55" s="28">
        <v>2.2239071388287979E-6</v>
      </c>
      <c r="G55"/>
      <c r="H55"/>
      <c r="I55"/>
    </row>
    <row r="56" spans="1:9" x14ac:dyDescent="0.2">
      <c r="A56" s="28" t="s">
        <v>15</v>
      </c>
      <c r="B56" s="28">
        <v>36</v>
      </c>
      <c r="C56" s="28">
        <v>70.380365269723171</v>
      </c>
      <c r="D56" s="28">
        <v>1.9550101463811993</v>
      </c>
      <c r="E56" s="28"/>
      <c r="F56" s="28"/>
      <c r="G56"/>
      <c r="H56"/>
      <c r="I56"/>
    </row>
    <row r="57" spans="1:9" ht="17" thickBot="1" x14ac:dyDescent="0.25">
      <c r="A57" s="29" t="s">
        <v>16</v>
      </c>
      <c r="B57" s="29">
        <v>37</v>
      </c>
      <c r="C57" s="29">
        <v>132.17487631578945</v>
      </c>
      <c r="D57" s="29"/>
      <c r="E57" s="29"/>
      <c r="F57" s="29"/>
      <c r="G57"/>
      <c r="H57"/>
      <c r="I57"/>
    </row>
    <row r="58" spans="1:9" ht="17" thickBot="1" x14ac:dyDescent="0.25">
      <c r="A58"/>
      <c r="B58"/>
      <c r="C58"/>
      <c r="D58"/>
      <c r="F58"/>
      <c r="G58"/>
      <c r="H58"/>
      <c r="I58"/>
    </row>
    <row r="59" spans="1:9" x14ac:dyDescent="0.2">
      <c r="A59" s="30"/>
      <c r="B59" s="30" t="s">
        <v>23</v>
      </c>
      <c r="C59" s="30" t="s">
        <v>11</v>
      </c>
      <c r="D59" s="30" t="s">
        <v>24</v>
      </c>
      <c r="E59" s="30" t="s">
        <v>25</v>
      </c>
      <c r="F59" s="30" t="s">
        <v>26</v>
      </c>
      <c r="G59" s="30" t="s">
        <v>27</v>
      </c>
      <c r="H59" s="30" t="s">
        <v>28</v>
      </c>
      <c r="I59" s="30" t="s">
        <v>29</v>
      </c>
    </row>
    <row r="60" spans="1:9" x14ac:dyDescent="0.2">
      <c r="A60" s="28" t="s">
        <v>17</v>
      </c>
      <c r="B60" s="28">
        <v>17.503143669985775</v>
      </c>
      <c r="C60" s="28">
        <v>0.46274550405592491</v>
      </c>
      <c r="D60" s="28">
        <v>37.824556946684979</v>
      </c>
      <c r="E60" s="28">
        <v>1.3970105057953044E-30</v>
      </c>
      <c r="F60" s="28">
        <v>16.564652289229279</v>
      </c>
      <c r="G60" s="28">
        <v>18.441635050742271</v>
      </c>
      <c r="H60" s="28">
        <v>16.564652289229279</v>
      </c>
      <c r="I60" s="28">
        <v>18.441635050742271</v>
      </c>
    </row>
    <row r="61" spans="1:9" ht="17" thickBot="1" x14ac:dyDescent="0.25">
      <c r="A61" s="29" t="s">
        <v>34</v>
      </c>
      <c r="B61" s="29">
        <v>0.11628952839479149</v>
      </c>
      <c r="C61" s="29">
        <v>2.0684268517012154E-2</v>
      </c>
      <c r="D61" s="29">
        <v>5.6221242873127011</v>
      </c>
      <c r="E61" s="29">
        <v>2.2239071388288063E-6</v>
      </c>
      <c r="F61" s="29">
        <v>7.4339887500770307E-2</v>
      </c>
      <c r="G61" s="29">
        <v>0.15823916928881268</v>
      </c>
      <c r="H61" s="29">
        <v>7.4339887500770307E-2</v>
      </c>
      <c r="I61" s="29">
        <v>0.15823916928881268</v>
      </c>
    </row>
    <row r="62" spans="1:9" x14ac:dyDescent="0.2">
      <c r="A62"/>
      <c r="B62"/>
      <c r="C62"/>
      <c r="D62"/>
      <c r="F62"/>
      <c r="G62"/>
      <c r="H62"/>
      <c r="I62"/>
    </row>
    <row r="63" spans="1:9" x14ac:dyDescent="0.2">
      <c r="A63"/>
      <c r="B63"/>
      <c r="C63"/>
      <c r="D63"/>
      <c r="F63"/>
      <c r="G63"/>
      <c r="H63"/>
      <c r="I63"/>
    </row>
    <row r="64" spans="1:9" x14ac:dyDescent="0.2">
      <c r="A64"/>
      <c r="B64"/>
      <c r="C64"/>
      <c r="D64"/>
      <c r="F64"/>
      <c r="G64"/>
      <c r="H64"/>
      <c r="I64"/>
    </row>
    <row r="65" spans="1:9" x14ac:dyDescent="0.2">
      <c r="A65" t="s">
        <v>30</v>
      </c>
      <c r="B65"/>
      <c r="C65"/>
      <c r="D65"/>
      <c r="F65"/>
      <c r="G65"/>
      <c r="H65"/>
      <c r="I65"/>
    </row>
    <row r="66" spans="1:9" ht="17" thickBot="1" x14ac:dyDescent="0.25">
      <c r="A66"/>
      <c r="B66"/>
      <c r="C66"/>
      <c r="D66"/>
      <c r="F66"/>
      <c r="G66"/>
      <c r="H66"/>
      <c r="I66"/>
    </row>
    <row r="67" spans="1:9" x14ac:dyDescent="0.2">
      <c r="A67" s="30" t="s">
        <v>31</v>
      </c>
      <c r="B67" s="30" t="s">
        <v>35</v>
      </c>
      <c r="C67" s="30" t="s">
        <v>32</v>
      </c>
      <c r="D67" s="30" t="s">
        <v>33</v>
      </c>
      <c r="F67"/>
      <c r="G67"/>
      <c r="H67"/>
      <c r="I67"/>
    </row>
    <row r="68" spans="1:9" x14ac:dyDescent="0.2">
      <c r="A68" s="28">
        <v>1</v>
      </c>
      <c r="B68" s="28">
        <v>17.619433198380566</v>
      </c>
      <c r="C68" s="28">
        <v>0.93056680161943461</v>
      </c>
      <c r="D68" s="28">
        <v>0.6747185628532415</v>
      </c>
      <c r="F68"/>
      <c r="G68"/>
      <c r="H68"/>
      <c r="I68"/>
    </row>
    <row r="69" spans="1:9" x14ac:dyDescent="0.2">
      <c r="A69" s="28">
        <v>2</v>
      </c>
      <c r="B69" s="28">
        <v>17.735722726775357</v>
      </c>
      <c r="C69" s="28">
        <v>0.79427727322464392</v>
      </c>
      <c r="D69" s="28">
        <v>0.57590021411089498</v>
      </c>
      <c r="F69"/>
      <c r="G69"/>
      <c r="H69"/>
      <c r="I69"/>
    </row>
    <row r="70" spans="1:9" x14ac:dyDescent="0.2">
      <c r="A70" s="28">
        <v>3</v>
      </c>
      <c r="B70" s="28">
        <v>17.852012255170148</v>
      </c>
      <c r="C70" s="28">
        <v>0.66798774482985124</v>
      </c>
      <c r="D70" s="28">
        <v>0.48433248468656975</v>
      </c>
      <c r="F70"/>
      <c r="G70"/>
      <c r="H70"/>
      <c r="I70"/>
    </row>
    <row r="71" spans="1:9" x14ac:dyDescent="0.2">
      <c r="A71" s="28">
        <v>4</v>
      </c>
      <c r="B71" s="28">
        <v>17.968301783564939</v>
      </c>
      <c r="C71" s="28">
        <v>0.39169821643505998</v>
      </c>
      <c r="D71" s="28">
        <v>0.28400546549190592</v>
      </c>
      <c r="F71"/>
      <c r="G71"/>
      <c r="H71"/>
      <c r="I71"/>
    </row>
    <row r="72" spans="1:9" x14ac:dyDescent="0.2">
      <c r="A72" s="28">
        <v>5</v>
      </c>
      <c r="B72" s="28">
        <v>18.084591311959734</v>
      </c>
      <c r="C72" s="28">
        <v>-0.6045913119597337</v>
      </c>
      <c r="D72" s="28">
        <v>-0.43836614460038975</v>
      </c>
      <c r="F72"/>
      <c r="G72"/>
      <c r="H72"/>
      <c r="I72"/>
    </row>
    <row r="73" spans="1:9" x14ac:dyDescent="0.2">
      <c r="A73" s="28">
        <v>6</v>
      </c>
      <c r="B73" s="28">
        <v>18.200880840354525</v>
      </c>
      <c r="C73" s="28">
        <v>0.25911915964547561</v>
      </c>
      <c r="D73" s="28">
        <v>0.18787743845952781</v>
      </c>
      <c r="F73"/>
      <c r="G73"/>
      <c r="H73"/>
      <c r="I73"/>
    </row>
    <row r="74" spans="1:9" x14ac:dyDescent="0.2">
      <c r="A74" s="28">
        <v>7</v>
      </c>
      <c r="B74" s="28">
        <v>18.317170368749316</v>
      </c>
      <c r="C74" s="28">
        <v>-1.3271703687493179</v>
      </c>
      <c r="D74" s="28">
        <v>-0.96228071139610361</v>
      </c>
      <c r="F74"/>
      <c r="G74"/>
      <c r="H74"/>
      <c r="I74"/>
    </row>
    <row r="75" spans="1:9" x14ac:dyDescent="0.2">
      <c r="A75" s="28">
        <v>8</v>
      </c>
      <c r="B75" s="28">
        <v>18.433459897144107</v>
      </c>
      <c r="C75" s="28">
        <v>-1.4034598971441063</v>
      </c>
      <c r="D75" s="28">
        <v>-1.0175953442303125</v>
      </c>
      <c r="F75"/>
      <c r="G75"/>
      <c r="H75"/>
      <c r="I75"/>
    </row>
    <row r="76" spans="1:9" x14ac:dyDescent="0.2">
      <c r="A76" s="28">
        <v>9</v>
      </c>
      <c r="B76" s="28">
        <v>18.549749425538899</v>
      </c>
      <c r="C76" s="28">
        <v>-1.8497494255388993</v>
      </c>
      <c r="D76" s="28">
        <v>-1.3411828918313624</v>
      </c>
      <c r="F76"/>
      <c r="G76"/>
      <c r="H76"/>
      <c r="I76"/>
    </row>
    <row r="77" spans="1:9" x14ac:dyDescent="0.2">
      <c r="A77" s="28">
        <v>10</v>
      </c>
      <c r="B77" s="28">
        <v>18.66603895393369</v>
      </c>
      <c r="C77" s="28">
        <v>-2.7760389539336892</v>
      </c>
      <c r="D77" s="28">
        <v>-2.0128001666974971</v>
      </c>
      <c r="F77"/>
      <c r="G77"/>
      <c r="H77"/>
      <c r="I77"/>
    </row>
    <row r="78" spans="1:9" x14ac:dyDescent="0.2">
      <c r="A78" s="28">
        <v>11</v>
      </c>
      <c r="B78" s="28">
        <v>18.782328482328481</v>
      </c>
      <c r="C78" s="28">
        <v>-1.5423284823284824</v>
      </c>
      <c r="D78" s="28">
        <v>-1.1182836688707436</v>
      </c>
      <c r="F78"/>
      <c r="G78"/>
      <c r="H78"/>
      <c r="I78"/>
    </row>
    <row r="79" spans="1:9" x14ac:dyDescent="0.2">
      <c r="A79" s="28">
        <v>12</v>
      </c>
      <c r="B79" s="28">
        <v>18.898618010723272</v>
      </c>
      <c r="C79" s="28">
        <v>-1.4486180107232727</v>
      </c>
      <c r="D79" s="28">
        <v>-1.0503377732985688</v>
      </c>
      <c r="F79"/>
      <c r="G79"/>
      <c r="H79"/>
      <c r="I79"/>
    </row>
    <row r="80" spans="1:9" x14ac:dyDescent="0.2">
      <c r="A80" s="28">
        <v>13</v>
      </c>
      <c r="B80" s="28">
        <v>19.014907539118063</v>
      </c>
      <c r="C80" s="28">
        <v>-0.33490753911806337</v>
      </c>
      <c r="D80" s="28">
        <v>-0.24282870728808534</v>
      </c>
      <c r="F80"/>
      <c r="G80"/>
      <c r="H80"/>
      <c r="I80"/>
    </row>
    <row r="81" spans="1:9" x14ac:dyDescent="0.2">
      <c r="A81" s="28">
        <v>14</v>
      </c>
      <c r="B81" s="28">
        <v>19.131197067512858</v>
      </c>
      <c r="C81" s="28">
        <v>-1.4711970675128576</v>
      </c>
      <c r="D81" s="28">
        <v>-1.0667089878326983</v>
      </c>
      <c r="F81"/>
      <c r="G81"/>
      <c r="H81"/>
      <c r="I81"/>
    </row>
    <row r="82" spans="1:9" x14ac:dyDescent="0.2">
      <c r="A82" s="28">
        <v>15</v>
      </c>
      <c r="B82" s="28">
        <v>19.247486595907649</v>
      </c>
      <c r="C82" s="28">
        <v>-0.64748659590764746</v>
      </c>
      <c r="D82" s="28">
        <v>-0.46946788204487078</v>
      </c>
      <c r="F82"/>
      <c r="G82"/>
      <c r="H82"/>
      <c r="I82"/>
    </row>
    <row r="83" spans="1:9" x14ac:dyDescent="0.2">
      <c r="A83" s="28">
        <v>16</v>
      </c>
      <c r="B83" s="28">
        <v>19.36377612430244</v>
      </c>
      <c r="C83" s="28">
        <v>-0.88377612430243957</v>
      </c>
      <c r="D83" s="28">
        <v>-0.64079242396744462</v>
      </c>
      <c r="F83"/>
      <c r="G83"/>
      <c r="H83"/>
      <c r="I83"/>
    </row>
    <row r="84" spans="1:9" x14ac:dyDescent="0.2">
      <c r="A84" s="28">
        <v>17</v>
      </c>
      <c r="B84" s="28">
        <v>19.480065652697231</v>
      </c>
      <c r="C84" s="28">
        <v>1.5999343473027672</v>
      </c>
      <c r="D84" s="28">
        <v>1.1600514886121387</v>
      </c>
      <c r="F84"/>
      <c r="G84"/>
      <c r="H84"/>
      <c r="I84"/>
    </row>
    <row r="85" spans="1:9" x14ac:dyDescent="0.2">
      <c r="A85" s="28">
        <v>18</v>
      </c>
      <c r="B85" s="28">
        <v>19.596355181092022</v>
      </c>
      <c r="C85" s="28">
        <v>2.3036448189079763</v>
      </c>
      <c r="D85" s="28">
        <v>1.6702851625836941</v>
      </c>
      <c r="F85"/>
      <c r="G85"/>
      <c r="H85"/>
      <c r="I85"/>
    </row>
    <row r="86" spans="1:9" x14ac:dyDescent="0.2">
      <c r="A86" s="28">
        <v>19</v>
      </c>
      <c r="B86" s="28">
        <v>19.712644709486813</v>
      </c>
      <c r="C86" s="28">
        <v>1.4873552905131859</v>
      </c>
      <c r="D86" s="28">
        <v>1.0784247002158083</v>
      </c>
      <c r="F86"/>
      <c r="G86"/>
      <c r="H86"/>
      <c r="I86"/>
    </row>
    <row r="87" spans="1:9" x14ac:dyDescent="0.2">
      <c r="A87" s="28">
        <v>20</v>
      </c>
      <c r="B87" s="28">
        <v>19.828934237881604</v>
      </c>
      <c r="C87" s="28">
        <v>1.0610657621183961</v>
      </c>
      <c r="D87" s="28">
        <v>0.76933839125080583</v>
      </c>
      <c r="F87"/>
      <c r="G87"/>
      <c r="H87"/>
      <c r="I87"/>
    </row>
    <row r="88" spans="1:9" x14ac:dyDescent="0.2">
      <c r="A88" s="28">
        <v>21</v>
      </c>
      <c r="B88" s="28">
        <v>19.945223766276396</v>
      </c>
      <c r="C88" s="28">
        <v>1.324776233723604</v>
      </c>
      <c r="D88" s="28">
        <v>0.96054481522936397</v>
      </c>
      <c r="F88"/>
      <c r="G88"/>
      <c r="H88"/>
      <c r="I88"/>
    </row>
    <row r="89" spans="1:9" x14ac:dyDescent="0.2">
      <c r="A89" s="28">
        <v>22</v>
      </c>
      <c r="B89" s="28">
        <v>20.061513294671187</v>
      </c>
      <c r="C89" s="28">
        <v>2.0084867053288136</v>
      </c>
      <c r="D89" s="28">
        <v>1.4562772505648742</v>
      </c>
      <c r="F89"/>
      <c r="G89"/>
      <c r="H89"/>
      <c r="I89"/>
    </row>
    <row r="90" spans="1:9" x14ac:dyDescent="0.2">
      <c r="A90" s="28">
        <v>23</v>
      </c>
      <c r="B90" s="28">
        <v>20.177802823065978</v>
      </c>
      <c r="C90" s="28">
        <v>1.6521971769340205</v>
      </c>
      <c r="D90" s="28">
        <v>1.1979452768260279</v>
      </c>
      <c r="F90"/>
      <c r="G90"/>
      <c r="H90"/>
      <c r="I90"/>
    </row>
    <row r="91" spans="1:9" x14ac:dyDescent="0.2">
      <c r="A91" s="28">
        <v>24</v>
      </c>
      <c r="B91" s="28">
        <v>20.294092351460769</v>
      </c>
      <c r="C91" s="28">
        <v>1.825907648539232</v>
      </c>
      <c r="D91" s="28">
        <v>1.323896126942385</v>
      </c>
      <c r="F91"/>
      <c r="G91"/>
      <c r="H91"/>
      <c r="I91"/>
    </row>
    <row r="92" spans="1:9" x14ac:dyDescent="0.2">
      <c r="A92" s="28">
        <v>25</v>
      </c>
      <c r="B92" s="28">
        <v>20.410381879855564</v>
      </c>
      <c r="C92" s="28">
        <v>1.1496181201444351</v>
      </c>
      <c r="D92" s="28">
        <v>0.83354433502681136</v>
      </c>
      <c r="F92"/>
      <c r="G92"/>
      <c r="H92"/>
      <c r="I92"/>
    </row>
    <row r="93" spans="1:9" x14ac:dyDescent="0.2">
      <c r="A93" s="28">
        <v>26</v>
      </c>
      <c r="B93" s="28">
        <v>20.526671408250355</v>
      </c>
      <c r="C93" s="28">
        <v>1.7133285917496437</v>
      </c>
      <c r="D93" s="28">
        <v>1.2422693385460493</v>
      </c>
      <c r="F93"/>
      <c r="G93"/>
      <c r="H93"/>
      <c r="I93"/>
    </row>
    <row r="94" spans="1:9" x14ac:dyDescent="0.2">
      <c r="A94" s="28">
        <v>27</v>
      </c>
      <c r="B94" s="28">
        <v>20.642960936645146</v>
      </c>
      <c r="C94" s="28">
        <v>1.4770390633548551</v>
      </c>
      <c r="D94" s="28">
        <v>1.070944796623478</v>
      </c>
      <c r="F94"/>
      <c r="G94"/>
      <c r="H94"/>
      <c r="I94"/>
    </row>
    <row r="95" spans="1:9" x14ac:dyDescent="0.2">
      <c r="A95" s="28">
        <v>28</v>
      </c>
      <c r="B95" s="28">
        <v>20.759250465039937</v>
      </c>
      <c r="C95" s="28">
        <v>0.86074953496006401</v>
      </c>
      <c r="D95" s="28">
        <v>0.62409672061604438</v>
      </c>
      <c r="F95"/>
      <c r="G95"/>
      <c r="H95"/>
      <c r="I95"/>
    </row>
    <row r="96" spans="1:9" x14ac:dyDescent="0.2">
      <c r="A96" s="28">
        <v>29</v>
      </c>
      <c r="B96" s="28">
        <v>20.875539993434728</v>
      </c>
      <c r="C96" s="28">
        <v>0.46446000656527175</v>
      </c>
      <c r="D96" s="28">
        <v>0.33676226960510819</v>
      </c>
      <c r="F96"/>
      <c r="G96"/>
      <c r="H96"/>
      <c r="I96"/>
    </row>
    <row r="97" spans="1:9" x14ac:dyDescent="0.2">
      <c r="A97" s="28">
        <v>30</v>
      </c>
      <c r="B97" s="28">
        <v>20.991829521829519</v>
      </c>
      <c r="C97" s="28">
        <v>0.40817047817047936</v>
      </c>
      <c r="D97" s="28">
        <v>0.29594887540694159</v>
      </c>
      <c r="F97"/>
      <c r="G97"/>
      <c r="H97"/>
      <c r="I97"/>
    </row>
    <row r="98" spans="1:9" x14ac:dyDescent="0.2">
      <c r="A98" s="28">
        <v>31</v>
      </c>
      <c r="B98" s="28">
        <v>21.10811905022431</v>
      </c>
      <c r="C98" s="28">
        <v>0.54188094977568824</v>
      </c>
      <c r="D98" s="28">
        <v>0.39289724825120614</v>
      </c>
      <c r="F98"/>
      <c r="G98"/>
      <c r="H98"/>
      <c r="I98"/>
    </row>
    <row r="99" spans="1:9" x14ac:dyDescent="0.2">
      <c r="A99" s="28">
        <v>32</v>
      </c>
      <c r="B99" s="28">
        <v>21.224408578619101</v>
      </c>
      <c r="C99" s="28">
        <v>-8.4408578619100894E-2</v>
      </c>
      <c r="D99" s="28">
        <v>-6.1201447074248572E-2</v>
      </c>
      <c r="F99"/>
      <c r="G99"/>
      <c r="H99"/>
      <c r="I99"/>
    </row>
    <row r="100" spans="1:9" x14ac:dyDescent="0.2">
      <c r="A100" s="28">
        <v>33</v>
      </c>
      <c r="B100" s="28">
        <v>21.340698107013893</v>
      </c>
      <c r="C100" s="28">
        <v>-0.96069810701389358</v>
      </c>
      <c r="D100" s="28">
        <v>-0.69656562535027189</v>
      </c>
      <c r="F100"/>
      <c r="G100"/>
      <c r="H100"/>
      <c r="I100"/>
    </row>
    <row r="101" spans="1:9" x14ac:dyDescent="0.2">
      <c r="A101" s="28">
        <v>34</v>
      </c>
      <c r="B101" s="28">
        <v>21.456987635408687</v>
      </c>
      <c r="C101" s="28">
        <v>-1.126987635408689</v>
      </c>
      <c r="D101" s="28">
        <v>-0.8171358320466896</v>
      </c>
      <c r="F101"/>
      <c r="G101"/>
      <c r="H101"/>
      <c r="I101"/>
    </row>
    <row r="102" spans="1:9" x14ac:dyDescent="0.2">
      <c r="A102" s="28">
        <v>35</v>
      </c>
      <c r="B102" s="28">
        <v>21.573277163803478</v>
      </c>
      <c r="C102" s="28">
        <v>-1.8732771638034791</v>
      </c>
      <c r="D102" s="28">
        <v>-1.3582419591884167</v>
      </c>
      <c r="F102"/>
      <c r="G102"/>
      <c r="H102"/>
      <c r="I102"/>
    </row>
    <row r="103" spans="1:9" x14ac:dyDescent="0.2">
      <c r="A103" s="28">
        <v>36</v>
      </c>
      <c r="B103" s="28">
        <v>21.689566692198269</v>
      </c>
      <c r="C103" s="28">
        <v>-1.8695666921982692</v>
      </c>
      <c r="D103" s="28">
        <v>-1.3555516374784458</v>
      </c>
      <c r="F103"/>
      <c r="G103"/>
      <c r="H103"/>
      <c r="I103"/>
    </row>
    <row r="104" spans="1:9" x14ac:dyDescent="0.2">
      <c r="A104" s="28">
        <v>37</v>
      </c>
      <c r="B104" s="28">
        <v>21.805856220593061</v>
      </c>
      <c r="C104" s="28">
        <v>-0.57585622059306019</v>
      </c>
      <c r="D104" s="28">
        <v>-0.4175314237435549</v>
      </c>
      <c r="F104"/>
      <c r="G104"/>
      <c r="H104"/>
      <c r="I104"/>
    </row>
    <row r="105" spans="1:9" ht="17" thickBot="1" x14ac:dyDescent="0.25">
      <c r="A105" s="29">
        <v>38</v>
      </c>
      <c r="B105" s="29">
        <v>21.922145748987852</v>
      </c>
      <c r="C105" s="29">
        <v>-2.1421457489878506</v>
      </c>
      <c r="D105" s="29">
        <v>-1.5531883349631388</v>
      </c>
      <c r="F105"/>
      <c r="G105"/>
      <c r="H105"/>
      <c r="I105"/>
    </row>
    <row r="108" spans="1:9" x14ac:dyDescent="0.2">
      <c r="A108" s="15" t="s">
        <v>90</v>
      </c>
    </row>
    <row r="109" spans="1:9" x14ac:dyDescent="0.2">
      <c r="A109" s="16" t="s">
        <v>53</v>
      </c>
      <c r="B109" s="16" t="s">
        <v>54</v>
      </c>
      <c r="C109" s="16" t="s">
        <v>63</v>
      </c>
      <c r="D109" s="16" t="s">
        <v>64</v>
      </c>
    </row>
    <row r="110" spans="1:9" x14ac:dyDescent="0.2">
      <c r="A110" s="26">
        <v>45873</v>
      </c>
      <c r="B110" s="20">
        <v>3189200</v>
      </c>
      <c r="C110" s="16">
        <v>19.97</v>
      </c>
      <c r="D110" s="16">
        <v>21.19</v>
      </c>
    </row>
    <row r="111" spans="1:9" x14ac:dyDescent="0.2">
      <c r="A111" s="26">
        <v>45874</v>
      </c>
      <c r="B111" s="20">
        <v>3364700</v>
      </c>
      <c r="C111" s="16">
        <v>21.07</v>
      </c>
      <c r="D111" s="16">
        <v>20.27</v>
      </c>
    </row>
    <row r="112" spans="1:9" x14ac:dyDescent="0.2">
      <c r="A112" s="26">
        <v>45875</v>
      </c>
      <c r="B112" s="20">
        <v>3130400</v>
      </c>
      <c r="C112" s="16">
        <v>20.27</v>
      </c>
      <c r="D112" s="16">
        <v>20.69</v>
      </c>
    </row>
    <row r="113" spans="1:4" x14ac:dyDescent="0.2">
      <c r="A113" s="26">
        <v>45876</v>
      </c>
      <c r="B113" s="20">
        <v>5940400</v>
      </c>
      <c r="C113" s="16">
        <v>21.16</v>
      </c>
      <c r="D113" s="16">
        <v>20.02</v>
      </c>
    </row>
    <row r="114" spans="1:4" x14ac:dyDescent="0.2">
      <c r="A114" s="26">
        <v>45877</v>
      </c>
      <c r="B114" s="20">
        <v>5391400</v>
      </c>
      <c r="C114" s="16">
        <v>20.149999999999999</v>
      </c>
      <c r="D114" s="16">
        <v>19.45</v>
      </c>
    </row>
    <row r="115" spans="1:4" x14ac:dyDescent="0.2">
      <c r="A115" s="26">
        <v>45880</v>
      </c>
      <c r="B115" s="20">
        <v>6131300</v>
      </c>
      <c r="C115" s="16">
        <v>19.7</v>
      </c>
      <c r="D115" s="16">
        <v>20.57</v>
      </c>
    </row>
    <row r="116" spans="1:4" x14ac:dyDescent="0.2">
      <c r="A116" s="26">
        <v>45881</v>
      </c>
      <c r="B116" s="20">
        <v>4121700</v>
      </c>
      <c r="C116" s="16">
        <v>20.6</v>
      </c>
      <c r="D116" s="16">
        <v>21.58</v>
      </c>
    </row>
    <row r="117" spans="1:4" x14ac:dyDescent="0.2">
      <c r="A117" s="26">
        <v>45882</v>
      </c>
      <c r="B117" s="20">
        <v>4859000</v>
      </c>
      <c r="C117" s="16">
        <v>21.91</v>
      </c>
      <c r="D117" s="16">
        <v>22.36</v>
      </c>
    </row>
    <row r="118" spans="1:4" x14ac:dyDescent="0.2">
      <c r="A118" s="26">
        <v>45883</v>
      </c>
      <c r="B118" s="20">
        <v>9120200</v>
      </c>
      <c r="C118" s="16">
        <v>21.57</v>
      </c>
      <c r="D118" s="16">
        <v>23.8</v>
      </c>
    </row>
    <row r="119" spans="1:4" x14ac:dyDescent="0.2">
      <c r="A119" s="26">
        <v>45884</v>
      </c>
      <c r="B119" s="20">
        <v>4728000</v>
      </c>
      <c r="C119" s="16">
        <v>23.55</v>
      </c>
      <c r="D119" s="16">
        <v>23.32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2B54-828C-6747-B985-16F6260E5AE5}">
  <dimension ref="A1:I119"/>
  <sheetViews>
    <sheetView topLeftCell="A98" workbookViewId="0">
      <selection activeCell="F114" sqref="F114"/>
    </sheetView>
  </sheetViews>
  <sheetFormatPr baseColWidth="10" defaultRowHeight="16" x14ac:dyDescent="0.2"/>
  <cols>
    <col min="1" max="4" width="10.83203125" style="1"/>
    <col min="6" max="16384" width="10.83203125" style="1"/>
  </cols>
  <sheetData>
    <row r="1" spans="1:6" x14ac:dyDescent="0.2">
      <c r="A1" s="16" t="s">
        <v>53</v>
      </c>
      <c r="B1" s="16" t="s">
        <v>54</v>
      </c>
      <c r="C1" s="16" t="s">
        <v>34</v>
      </c>
      <c r="D1" s="16" t="s">
        <v>55</v>
      </c>
      <c r="E1" s="1" t="s">
        <v>56</v>
      </c>
      <c r="F1" s="1" t="s">
        <v>57</v>
      </c>
    </row>
    <row r="2" spans="1:6" ht="18" x14ac:dyDescent="0.2">
      <c r="A2" s="17">
        <v>45817</v>
      </c>
      <c r="B2" s="19">
        <v>2517000</v>
      </c>
      <c r="C2" s="18">
        <v>1</v>
      </c>
      <c r="D2" s="18">
        <v>301.66000000000003</v>
      </c>
      <c r="E2" s="1"/>
      <c r="F2" s="1" cm="1">
        <f t="array" ref="F2">SUMPRODUCT(--(D7:D39&gt;E7:E39))/33</f>
        <v>0.63636363636363635</v>
      </c>
    </row>
    <row r="3" spans="1:6" ht="18" x14ac:dyDescent="0.2">
      <c r="A3" s="17">
        <v>45818</v>
      </c>
      <c r="B3" s="19">
        <v>1603300</v>
      </c>
      <c r="C3" s="18">
        <v>2</v>
      </c>
      <c r="D3" s="18">
        <v>305.69</v>
      </c>
      <c r="E3" s="18"/>
      <c r="F3" s="18"/>
    </row>
    <row r="4" spans="1:6" ht="18" x14ac:dyDescent="0.2">
      <c r="A4" s="17">
        <v>45819</v>
      </c>
      <c r="B4" s="19">
        <v>1259400</v>
      </c>
      <c r="C4" s="18">
        <v>3</v>
      </c>
      <c r="D4" s="18">
        <v>307.2</v>
      </c>
      <c r="E4" s="18"/>
      <c r="F4" s="18"/>
    </row>
    <row r="5" spans="1:6" ht="18" x14ac:dyDescent="0.2">
      <c r="A5" s="17">
        <v>45820</v>
      </c>
      <c r="B5" s="19">
        <v>1012800</v>
      </c>
      <c r="C5" s="18">
        <v>4</v>
      </c>
      <c r="D5" s="18">
        <v>307.85000000000002</v>
      </c>
      <c r="E5" s="18"/>
      <c r="F5" s="18"/>
    </row>
    <row r="6" spans="1:6" ht="18" x14ac:dyDescent="0.2">
      <c r="A6" s="17">
        <v>45821</v>
      </c>
      <c r="B6" s="19">
        <v>1188800</v>
      </c>
      <c r="C6" s="18">
        <v>5</v>
      </c>
      <c r="D6" s="18">
        <v>300</v>
      </c>
      <c r="E6" s="18"/>
      <c r="F6" s="18"/>
    </row>
    <row r="7" spans="1:6" ht="18" x14ac:dyDescent="0.2">
      <c r="A7" s="17">
        <v>45824</v>
      </c>
      <c r="B7" s="19">
        <v>1697100</v>
      </c>
      <c r="C7" s="18">
        <v>6</v>
      </c>
      <c r="D7" s="18">
        <v>300.81</v>
      </c>
      <c r="E7" s="18">
        <f>AVERAGE(D2:D6)</f>
        <v>304.48</v>
      </c>
      <c r="F7" s="18"/>
    </row>
    <row r="8" spans="1:6" ht="18" x14ac:dyDescent="0.2">
      <c r="A8" s="17">
        <v>45825</v>
      </c>
      <c r="B8" s="19">
        <v>1130400</v>
      </c>
      <c r="C8" s="18">
        <v>7</v>
      </c>
      <c r="D8" s="18">
        <v>299</v>
      </c>
      <c r="E8" s="18">
        <f t="shared" ref="E8:E39" si="0">AVERAGE(D3:D7)</f>
        <v>304.31</v>
      </c>
    </row>
    <row r="9" spans="1:6" ht="18" x14ac:dyDescent="0.2">
      <c r="A9" s="17">
        <v>45826</v>
      </c>
      <c r="B9" s="19">
        <v>1221000</v>
      </c>
      <c r="C9" s="18">
        <v>8</v>
      </c>
      <c r="D9" s="18">
        <v>296.83999999999997</v>
      </c>
      <c r="E9" s="18">
        <f t="shared" si="0"/>
        <v>302.97199999999998</v>
      </c>
    </row>
    <row r="10" spans="1:6" ht="18" x14ac:dyDescent="0.2">
      <c r="A10" s="17">
        <v>45828</v>
      </c>
      <c r="B10" s="19">
        <v>2373300</v>
      </c>
      <c r="C10" s="18">
        <v>9</v>
      </c>
      <c r="D10" s="18">
        <v>295.39999999999998</v>
      </c>
      <c r="E10" s="18">
        <f t="shared" si="0"/>
        <v>300.89999999999998</v>
      </c>
    </row>
    <row r="11" spans="1:6" ht="18" x14ac:dyDescent="0.2">
      <c r="A11" s="17">
        <v>45831</v>
      </c>
      <c r="B11" s="19">
        <v>2134500</v>
      </c>
      <c r="C11" s="18">
        <v>10</v>
      </c>
      <c r="D11" s="18">
        <v>293.56</v>
      </c>
      <c r="E11" s="18">
        <f t="shared" si="0"/>
        <v>298.40999999999997</v>
      </c>
    </row>
    <row r="12" spans="1:6" ht="18" x14ac:dyDescent="0.2">
      <c r="A12" s="17">
        <v>45832</v>
      </c>
      <c r="B12" s="19">
        <v>1906300</v>
      </c>
      <c r="C12" s="18">
        <v>11</v>
      </c>
      <c r="D12" s="18">
        <v>296.8</v>
      </c>
      <c r="E12" s="18">
        <f t="shared" si="0"/>
        <v>297.12199999999996</v>
      </c>
    </row>
    <row r="13" spans="1:6" ht="18" x14ac:dyDescent="0.2">
      <c r="A13" s="17">
        <v>45833</v>
      </c>
      <c r="B13" s="19">
        <v>1736800</v>
      </c>
      <c r="C13" s="18">
        <v>12</v>
      </c>
      <c r="D13" s="18">
        <v>297.52999999999997</v>
      </c>
      <c r="E13" s="18">
        <f t="shared" si="0"/>
        <v>296.32</v>
      </c>
    </row>
    <row r="14" spans="1:6" ht="18" x14ac:dyDescent="0.2">
      <c r="A14" s="17">
        <v>45834</v>
      </c>
      <c r="B14" s="19">
        <v>2128200</v>
      </c>
      <c r="C14" s="18">
        <v>13</v>
      </c>
      <c r="D14" s="18">
        <v>303.69</v>
      </c>
      <c r="E14" s="18">
        <f t="shared" si="0"/>
        <v>296.02599999999995</v>
      </c>
    </row>
    <row r="15" spans="1:6" ht="18" x14ac:dyDescent="0.2">
      <c r="A15" s="17">
        <v>45835</v>
      </c>
      <c r="B15" s="19">
        <v>2331800</v>
      </c>
      <c r="C15" s="18">
        <v>14</v>
      </c>
      <c r="D15" s="18">
        <v>305.2</v>
      </c>
      <c r="E15" s="18">
        <f t="shared" si="0"/>
        <v>297.39600000000002</v>
      </c>
    </row>
    <row r="16" spans="1:6" ht="18" x14ac:dyDescent="0.2">
      <c r="A16" s="17">
        <v>45838</v>
      </c>
      <c r="B16" s="19">
        <v>1748300</v>
      </c>
      <c r="C16" s="18">
        <v>15</v>
      </c>
      <c r="D16" s="18">
        <v>308.14999999999998</v>
      </c>
      <c r="E16" s="18">
        <f t="shared" si="0"/>
        <v>299.35599999999999</v>
      </c>
    </row>
    <row r="17" spans="1:5" ht="18" x14ac:dyDescent="0.2">
      <c r="A17" s="17">
        <v>45839</v>
      </c>
      <c r="B17" s="19">
        <v>1332100</v>
      </c>
      <c r="C17" s="18">
        <v>16</v>
      </c>
      <c r="D17" s="18">
        <v>309.45999999999998</v>
      </c>
      <c r="E17" s="18">
        <f t="shared" si="0"/>
        <v>302.274</v>
      </c>
    </row>
    <row r="18" spans="1:5" ht="18" x14ac:dyDescent="0.2">
      <c r="A18" s="17">
        <v>45840</v>
      </c>
      <c r="B18" s="19">
        <v>1164600</v>
      </c>
      <c r="C18" s="18">
        <v>17</v>
      </c>
      <c r="D18" s="18">
        <v>310.95</v>
      </c>
      <c r="E18" s="18">
        <f t="shared" si="0"/>
        <v>304.80600000000004</v>
      </c>
    </row>
    <row r="19" spans="1:5" ht="18" x14ac:dyDescent="0.2">
      <c r="A19" s="17">
        <v>45841</v>
      </c>
      <c r="B19" s="19">
        <v>2274700</v>
      </c>
      <c r="C19" s="18">
        <v>18</v>
      </c>
      <c r="D19" s="18">
        <v>326.81</v>
      </c>
      <c r="E19" s="18">
        <f t="shared" si="0"/>
        <v>307.49</v>
      </c>
    </row>
    <row r="20" spans="1:5" ht="18" x14ac:dyDescent="0.2">
      <c r="A20" s="17">
        <v>45845</v>
      </c>
      <c r="B20" s="19">
        <v>1824300</v>
      </c>
      <c r="C20" s="18">
        <v>19</v>
      </c>
      <c r="D20" s="18">
        <v>320.3</v>
      </c>
      <c r="E20" s="18">
        <f t="shared" si="0"/>
        <v>312.11399999999998</v>
      </c>
    </row>
    <row r="21" spans="1:5" ht="18" x14ac:dyDescent="0.2">
      <c r="A21" s="17">
        <v>45846</v>
      </c>
      <c r="B21" s="19">
        <v>2022900</v>
      </c>
      <c r="C21" s="18">
        <v>20</v>
      </c>
      <c r="D21" s="18">
        <v>323.27999999999997</v>
      </c>
      <c r="E21" s="18">
        <f t="shared" si="0"/>
        <v>315.13399999999996</v>
      </c>
    </row>
    <row r="22" spans="1:5" ht="18" x14ac:dyDescent="0.2">
      <c r="A22" s="17">
        <v>45847</v>
      </c>
      <c r="B22" s="19">
        <v>1092100</v>
      </c>
      <c r="C22" s="18">
        <v>21</v>
      </c>
      <c r="D22" s="18">
        <v>322.91000000000003</v>
      </c>
      <c r="E22" s="18">
        <f t="shared" si="0"/>
        <v>318.15999999999997</v>
      </c>
    </row>
    <row r="23" spans="1:5" ht="18" x14ac:dyDescent="0.2">
      <c r="A23" s="17">
        <v>45848</v>
      </c>
      <c r="B23" s="19">
        <v>1463700</v>
      </c>
      <c r="C23" s="18">
        <v>22</v>
      </c>
      <c r="D23" s="18">
        <v>322.66000000000003</v>
      </c>
      <c r="E23" s="18">
        <f t="shared" si="0"/>
        <v>320.85000000000002</v>
      </c>
    </row>
    <row r="24" spans="1:5" ht="18" x14ac:dyDescent="0.2">
      <c r="A24" s="17">
        <v>45849</v>
      </c>
      <c r="B24" s="19">
        <v>1201500</v>
      </c>
      <c r="C24" s="18">
        <v>23</v>
      </c>
      <c r="D24" s="18">
        <v>320.60000000000002</v>
      </c>
      <c r="E24" s="18">
        <f t="shared" si="0"/>
        <v>323.19200000000001</v>
      </c>
    </row>
    <row r="25" spans="1:5" ht="18" x14ac:dyDescent="0.2">
      <c r="A25" s="17">
        <v>45852</v>
      </c>
      <c r="B25" s="19">
        <v>1863100</v>
      </c>
      <c r="C25" s="18">
        <v>24</v>
      </c>
      <c r="D25" s="18">
        <v>317.49</v>
      </c>
      <c r="E25" s="18">
        <f t="shared" si="0"/>
        <v>321.95</v>
      </c>
    </row>
    <row r="26" spans="1:5" ht="18" x14ac:dyDescent="0.2">
      <c r="A26" s="17">
        <v>45853</v>
      </c>
      <c r="B26" s="19">
        <v>1447200</v>
      </c>
      <c r="C26" s="18">
        <v>25</v>
      </c>
      <c r="D26" s="18">
        <v>318.04000000000002</v>
      </c>
      <c r="E26" s="18">
        <f>AVERAGE(D21:D25)</f>
        <v>321.38800000000003</v>
      </c>
    </row>
    <row r="27" spans="1:5" ht="18" x14ac:dyDescent="0.2">
      <c r="A27" s="17">
        <v>45854</v>
      </c>
      <c r="B27" s="19">
        <v>1595700</v>
      </c>
      <c r="C27" s="18">
        <v>26</v>
      </c>
      <c r="D27" s="18">
        <v>314.58</v>
      </c>
      <c r="E27" s="18">
        <f t="shared" si="0"/>
        <v>320.34000000000003</v>
      </c>
    </row>
    <row r="28" spans="1:5" ht="18" x14ac:dyDescent="0.2">
      <c r="A28" s="17">
        <v>45855</v>
      </c>
      <c r="B28" s="19">
        <v>1275800</v>
      </c>
      <c r="C28" s="18">
        <v>27</v>
      </c>
      <c r="D28" s="18">
        <v>320.86</v>
      </c>
      <c r="E28" s="18">
        <f t="shared" si="0"/>
        <v>318.67399999999998</v>
      </c>
    </row>
    <row r="29" spans="1:5" ht="18" x14ac:dyDescent="0.2">
      <c r="A29" s="17">
        <v>45856</v>
      </c>
      <c r="B29" s="19">
        <v>1390900</v>
      </c>
      <c r="C29" s="18">
        <v>28</v>
      </c>
      <c r="D29" s="18">
        <v>315.57</v>
      </c>
      <c r="E29" s="18">
        <f t="shared" si="0"/>
        <v>318.31400000000002</v>
      </c>
    </row>
    <row r="30" spans="1:5" ht="18" x14ac:dyDescent="0.2">
      <c r="A30" s="17">
        <v>45859</v>
      </c>
      <c r="B30" s="19">
        <v>1042100</v>
      </c>
      <c r="C30" s="18">
        <v>29</v>
      </c>
      <c r="D30" s="18">
        <v>316.32</v>
      </c>
      <c r="E30" s="18">
        <f>AVERAGE(D25:D29)</f>
        <v>317.30799999999994</v>
      </c>
    </row>
    <row r="31" spans="1:5" ht="18" x14ac:dyDescent="0.2">
      <c r="A31" s="17">
        <v>45860</v>
      </c>
      <c r="B31" s="19">
        <v>1211400</v>
      </c>
      <c r="C31" s="18">
        <v>30</v>
      </c>
      <c r="D31" s="18">
        <v>319.60000000000002</v>
      </c>
      <c r="E31" s="18">
        <f t="shared" si="0"/>
        <v>317.07399999999996</v>
      </c>
    </row>
    <row r="32" spans="1:5" ht="18" x14ac:dyDescent="0.2">
      <c r="A32" s="17">
        <v>45861</v>
      </c>
      <c r="B32" s="19">
        <v>1523600</v>
      </c>
      <c r="C32" s="18">
        <v>31</v>
      </c>
      <c r="D32" s="18">
        <v>326.45999999999998</v>
      </c>
      <c r="E32" s="18">
        <f t="shared" si="0"/>
        <v>317.38599999999997</v>
      </c>
    </row>
    <row r="33" spans="1:9" ht="18" x14ac:dyDescent="0.2">
      <c r="A33" s="17">
        <v>45862</v>
      </c>
      <c r="B33" s="19">
        <v>1649500</v>
      </c>
      <c r="C33" s="18">
        <v>32</v>
      </c>
      <c r="D33" s="18">
        <v>324.64</v>
      </c>
      <c r="E33" s="18">
        <f t="shared" si="0"/>
        <v>319.762</v>
      </c>
    </row>
    <row r="34" spans="1:9" ht="18" x14ac:dyDescent="0.2">
      <c r="A34" s="17">
        <v>45863</v>
      </c>
      <c r="B34" s="19">
        <v>2718300</v>
      </c>
      <c r="C34" s="18">
        <v>33</v>
      </c>
      <c r="D34" s="18">
        <v>332.19</v>
      </c>
      <c r="E34" s="18">
        <f t="shared" si="0"/>
        <v>320.51800000000003</v>
      </c>
    </row>
    <row r="35" spans="1:9" ht="18" x14ac:dyDescent="0.2">
      <c r="A35" s="17">
        <v>45866</v>
      </c>
      <c r="B35" s="19">
        <v>2682400</v>
      </c>
      <c r="C35" s="18">
        <v>34</v>
      </c>
      <c r="D35" s="18">
        <v>333.76</v>
      </c>
      <c r="E35" s="18">
        <f t="shared" si="0"/>
        <v>323.84199999999998</v>
      </c>
    </row>
    <row r="36" spans="1:9" ht="18" x14ac:dyDescent="0.2">
      <c r="A36" s="17">
        <v>45867</v>
      </c>
      <c r="B36" s="19">
        <v>4666700</v>
      </c>
      <c r="C36" s="18">
        <v>35</v>
      </c>
      <c r="D36" s="18">
        <v>366.26</v>
      </c>
      <c r="E36" s="18">
        <f t="shared" si="0"/>
        <v>327.33</v>
      </c>
    </row>
    <row r="37" spans="1:9" ht="18" x14ac:dyDescent="0.2">
      <c r="A37" s="17">
        <v>45868</v>
      </c>
      <c r="B37" s="19">
        <v>3894000</v>
      </c>
      <c r="C37" s="18">
        <v>36</v>
      </c>
      <c r="D37" s="18">
        <v>371.03</v>
      </c>
      <c r="E37" s="18">
        <f t="shared" si="0"/>
        <v>336.66199999999998</v>
      </c>
    </row>
    <row r="38" spans="1:9" ht="18" x14ac:dyDescent="0.2">
      <c r="A38" s="17">
        <v>45869</v>
      </c>
      <c r="B38" s="19">
        <v>3012700</v>
      </c>
      <c r="C38" s="18">
        <v>37</v>
      </c>
      <c r="D38" s="18">
        <v>364.57</v>
      </c>
      <c r="E38" s="18">
        <f t="shared" si="0"/>
        <v>345.57599999999996</v>
      </c>
    </row>
    <row r="39" spans="1:9" ht="18" x14ac:dyDescent="0.2">
      <c r="A39" s="17">
        <v>45870</v>
      </c>
      <c r="B39" s="19">
        <v>2070000</v>
      </c>
      <c r="C39" s="18">
        <v>38</v>
      </c>
      <c r="D39" s="18">
        <v>356.97</v>
      </c>
      <c r="E39" s="18">
        <f>AVERAGE(D34:D38)</f>
        <v>353.56200000000001</v>
      </c>
    </row>
    <row r="42" spans="1:9" x14ac:dyDescent="0.2">
      <c r="A42" s="27" t="s">
        <v>80</v>
      </c>
    </row>
    <row r="44" spans="1:9" x14ac:dyDescent="0.2">
      <c r="A44" t="s">
        <v>6</v>
      </c>
      <c r="B44"/>
      <c r="C44"/>
      <c r="D44"/>
      <c r="F44"/>
      <c r="G44"/>
      <c r="H44"/>
      <c r="I44"/>
    </row>
    <row r="45" spans="1:9" ht="17" thickBot="1" x14ac:dyDescent="0.25">
      <c r="A45"/>
      <c r="B45"/>
      <c r="C45"/>
      <c r="D45"/>
      <c r="F45"/>
      <c r="G45"/>
      <c r="H45"/>
      <c r="I45"/>
    </row>
    <row r="46" spans="1:9" x14ac:dyDescent="0.2">
      <c r="A46" s="31" t="s">
        <v>7</v>
      </c>
      <c r="B46" s="31"/>
      <c r="C46"/>
      <c r="D46"/>
      <c r="F46"/>
      <c r="G46"/>
      <c r="H46"/>
      <c r="I46"/>
    </row>
    <row r="47" spans="1:9" x14ac:dyDescent="0.2">
      <c r="A47" s="28" t="s">
        <v>8</v>
      </c>
      <c r="B47" s="28">
        <v>0.82362427871003641</v>
      </c>
      <c r="C47"/>
      <c r="D47"/>
      <c r="F47"/>
      <c r="G47"/>
      <c r="H47"/>
      <c r="I47"/>
    </row>
    <row r="48" spans="1:9" x14ac:dyDescent="0.2">
      <c r="A48" s="28" t="s">
        <v>9</v>
      </c>
      <c r="B48" s="28">
        <v>0.67835695248062777</v>
      </c>
      <c r="C48"/>
      <c r="D48"/>
      <c r="F48"/>
      <c r="G48"/>
      <c r="H48"/>
      <c r="I48"/>
    </row>
    <row r="49" spans="1:9" x14ac:dyDescent="0.2">
      <c r="A49" s="28" t="s">
        <v>10</v>
      </c>
      <c r="B49" s="28">
        <v>0.66942242338286739</v>
      </c>
      <c r="C49"/>
      <c r="D49"/>
      <c r="F49"/>
      <c r="G49"/>
      <c r="H49"/>
      <c r="I49"/>
    </row>
    <row r="50" spans="1:9" x14ac:dyDescent="0.2">
      <c r="A50" s="28" t="s">
        <v>11</v>
      </c>
      <c r="B50" s="28">
        <v>11.270723568948998</v>
      </c>
      <c r="C50"/>
      <c r="D50"/>
      <c r="F50"/>
      <c r="G50"/>
      <c r="H50"/>
      <c r="I50"/>
    </row>
    <row r="51" spans="1:9" ht="17" thickBot="1" x14ac:dyDescent="0.25">
      <c r="A51" s="29" t="s">
        <v>12</v>
      </c>
      <c r="B51" s="29">
        <v>38</v>
      </c>
      <c r="C51"/>
      <c r="D51"/>
      <c r="F51"/>
      <c r="G51"/>
      <c r="H51"/>
      <c r="I51"/>
    </row>
    <row r="52" spans="1:9" x14ac:dyDescent="0.2">
      <c r="A52"/>
      <c r="B52"/>
      <c r="C52"/>
      <c r="D52"/>
      <c r="F52"/>
      <c r="G52"/>
      <c r="H52"/>
      <c r="I52"/>
    </row>
    <row r="53" spans="1:9" ht="17" thickBot="1" x14ac:dyDescent="0.25">
      <c r="A53" t="s">
        <v>13</v>
      </c>
      <c r="B53"/>
      <c r="C53"/>
      <c r="D53"/>
      <c r="F53"/>
      <c r="G53"/>
      <c r="H53"/>
      <c r="I53"/>
    </row>
    <row r="54" spans="1:9" x14ac:dyDescent="0.2">
      <c r="A54" s="30"/>
      <c r="B54" s="30" t="s">
        <v>18</v>
      </c>
      <c r="C54" s="30" t="s">
        <v>19</v>
      </c>
      <c r="D54" s="30" t="s">
        <v>20</v>
      </c>
      <c r="E54" s="30" t="s">
        <v>21</v>
      </c>
      <c r="F54" s="30" t="s">
        <v>22</v>
      </c>
      <c r="G54"/>
      <c r="H54"/>
      <c r="I54"/>
    </row>
    <row r="55" spans="1:9" x14ac:dyDescent="0.2">
      <c r="A55" s="28" t="s">
        <v>14</v>
      </c>
      <c r="B55" s="28">
        <v>1</v>
      </c>
      <c r="C55" s="28">
        <v>9644.7329983641557</v>
      </c>
      <c r="D55" s="28">
        <v>9644.7329983641557</v>
      </c>
      <c r="E55" s="28">
        <v>75.925316830707345</v>
      </c>
      <c r="F55" s="28">
        <v>2.1503588552596242E-10</v>
      </c>
      <c r="G55"/>
      <c r="H55"/>
      <c r="I55"/>
    </row>
    <row r="56" spans="1:9" x14ac:dyDescent="0.2">
      <c r="A56" s="28" t="s">
        <v>15</v>
      </c>
      <c r="B56" s="28">
        <v>36</v>
      </c>
      <c r="C56" s="28">
        <v>4573.0515516358482</v>
      </c>
      <c r="D56" s="28">
        <v>127.02920976766245</v>
      </c>
      <c r="E56" s="28"/>
      <c r="F56" s="28"/>
      <c r="G56"/>
      <c r="H56"/>
      <c r="I56"/>
    </row>
    <row r="57" spans="1:9" ht="17" thickBot="1" x14ac:dyDescent="0.25">
      <c r="A57" s="29" t="s">
        <v>16</v>
      </c>
      <c r="B57" s="29">
        <v>37</v>
      </c>
      <c r="C57" s="29">
        <v>14217.784550000004</v>
      </c>
      <c r="D57" s="29"/>
      <c r="E57" s="29"/>
      <c r="F57" s="29"/>
      <c r="G57"/>
      <c r="H57"/>
      <c r="I57"/>
    </row>
    <row r="58" spans="1:9" ht="17" thickBot="1" x14ac:dyDescent="0.25">
      <c r="A58"/>
      <c r="B58"/>
      <c r="C58"/>
      <c r="D58"/>
      <c r="F58"/>
      <c r="G58"/>
      <c r="H58"/>
      <c r="I58"/>
    </row>
    <row r="59" spans="1:9" x14ac:dyDescent="0.2">
      <c r="A59" s="30"/>
      <c r="B59" s="30" t="s">
        <v>23</v>
      </c>
      <c r="C59" s="30" t="s">
        <v>11</v>
      </c>
      <c r="D59" s="30" t="s">
        <v>24</v>
      </c>
      <c r="E59" s="30" t="s">
        <v>25</v>
      </c>
      <c r="F59" s="30" t="s">
        <v>26</v>
      </c>
      <c r="G59" s="30" t="s">
        <v>27</v>
      </c>
      <c r="H59" s="30" t="s">
        <v>28</v>
      </c>
      <c r="I59" s="30" t="s">
        <v>29</v>
      </c>
    </row>
    <row r="60" spans="1:9" x14ac:dyDescent="0.2">
      <c r="A60" s="28" t="s">
        <v>17</v>
      </c>
      <c r="B60" s="28">
        <v>289.42507823613079</v>
      </c>
      <c r="C60" s="28">
        <v>3.7300916116318703</v>
      </c>
      <c r="D60" s="28">
        <v>77.591949037817542</v>
      </c>
      <c r="E60" s="28">
        <v>1.1361611382759214E-41</v>
      </c>
      <c r="F60" s="28">
        <v>281.86010181547266</v>
      </c>
      <c r="G60" s="28">
        <v>296.99005465678891</v>
      </c>
      <c r="H60" s="28">
        <v>281.86010181547266</v>
      </c>
      <c r="I60" s="28">
        <v>296.99005465678891</v>
      </c>
    </row>
    <row r="61" spans="1:9" ht="17" thickBot="1" x14ac:dyDescent="0.25">
      <c r="A61" s="29" t="s">
        <v>34</v>
      </c>
      <c r="B61" s="29">
        <v>1.4528165007112375</v>
      </c>
      <c r="C61" s="29">
        <v>0.16673142323760703</v>
      </c>
      <c r="D61" s="29">
        <v>8.7135134607520577</v>
      </c>
      <c r="E61" s="29">
        <v>2.1503588552596319E-10</v>
      </c>
      <c r="F61" s="29">
        <v>1.1146695014681138</v>
      </c>
      <c r="G61" s="29">
        <v>1.7909634999543611</v>
      </c>
      <c r="H61" s="29">
        <v>1.1146695014681138</v>
      </c>
      <c r="I61" s="29">
        <v>1.7909634999543611</v>
      </c>
    </row>
    <row r="62" spans="1:9" x14ac:dyDescent="0.2">
      <c r="A62"/>
      <c r="B62"/>
      <c r="C62"/>
      <c r="D62"/>
      <c r="F62"/>
      <c r="G62"/>
      <c r="H62"/>
      <c r="I62"/>
    </row>
    <row r="63" spans="1:9" x14ac:dyDescent="0.2">
      <c r="A63"/>
      <c r="B63"/>
      <c r="C63"/>
      <c r="D63"/>
      <c r="F63"/>
      <c r="G63"/>
      <c r="H63"/>
      <c r="I63"/>
    </row>
    <row r="64" spans="1:9" x14ac:dyDescent="0.2">
      <c r="A64"/>
      <c r="B64"/>
      <c r="C64"/>
      <c r="D64"/>
      <c r="F64"/>
      <c r="G64"/>
      <c r="H64"/>
      <c r="I64"/>
    </row>
    <row r="65" spans="1:9" x14ac:dyDescent="0.2">
      <c r="A65" t="s">
        <v>30</v>
      </c>
      <c r="B65"/>
      <c r="C65"/>
      <c r="D65"/>
      <c r="F65"/>
      <c r="G65"/>
      <c r="H65"/>
      <c r="I65"/>
    </row>
    <row r="66" spans="1:9" ht="17" thickBot="1" x14ac:dyDescent="0.25">
      <c r="A66"/>
      <c r="B66"/>
      <c r="C66"/>
      <c r="D66"/>
      <c r="F66"/>
      <c r="G66"/>
      <c r="H66"/>
      <c r="I66"/>
    </row>
    <row r="67" spans="1:9" x14ac:dyDescent="0.2">
      <c r="A67" s="30" t="s">
        <v>31</v>
      </c>
      <c r="B67" s="30" t="s">
        <v>35</v>
      </c>
      <c r="C67" s="30" t="s">
        <v>32</v>
      </c>
      <c r="D67" s="30" t="s">
        <v>33</v>
      </c>
      <c r="F67"/>
      <c r="G67"/>
      <c r="H67"/>
      <c r="I67"/>
    </row>
    <row r="68" spans="1:9" x14ac:dyDescent="0.2">
      <c r="A68" s="28">
        <v>1</v>
      </c>
      <c r="B68" s="28">
        <v>290.87789473684205</v>
      </c>
      <c r="C68" s="28">
        <v>10.782105263157973</v>
      </c>
      <c r="D68" s="28">
        <v>0.96984287789585066</v>
      </c>
      <c r="F68"/>
      <c r="G68"/>
      <c r="H68"/>
      <c r="I68"/>
    </row>
    <row r="69" spans="1:9" x14ac:dyDescent="0.2">
      <c r="A69" s="28">
        <v>2</v>
      </c>
      <c r="B69" s="28">
        <v>292.33071123755326</v>
      </c>
      <c r="C69" s="28">
        <v>13.359288762446738</v>
      </c>
      <c r="D69" s="28">
        <v>1.2016587432404862</v>
      </c>
      <c r="F69"/>
      <c r="G69"/>
      <c r="H69"/>
      <c r="I69"/>
    </row>
    <row r="70" spans="1:9" x14ac:dyDescent="0.2">
      <c r="A70" s="28">
        <v>3</v>
      </c>
      <c r="B70" s="28">
        <v>293.78352773826452</v>
      </c>
      <c r="C70" s="28">
        <v>13.416472261735464</v>
      </c>
      <c r="D70" s="28">
        <v>1.2068023592750869</v>
      </c>
      <c r="F70"/>
      <c r="G70"/>
      <c r="H70"/>
      <c r="I70"/>
    </row>
    <row r="71" spans="1:9" x14ac:dyDescent="0.2">
      <c r="A71" s="28">
        <v>4</v>
      </c>
      <c r="B71" s="28">
        <v>295.23634423897573</v>
      </c>
      <c r="C71" s="28">
        <v>12.61365576102429</v>
      </c>
      <c r="D71" s="28">
        <v>1.1345895727673847</v>
      </c>
      <c r="F71"/>
      <c r="G71"/>
      <c r="H71"/>
      <c r="I71"/>
    </row>
    <row r="72" spans="1:9" x14ac:dyDescent="0.2">
      <c r="A72" s="28">
        <v>5</v>
      </c>
      <c r="B72" s="28">
        <v>296.689160739687</v>
      </c>
      <c r="C72" s="28">
        <v>3.3108392603130028</v>
      </c>
      <c r="D72" s="28">
        <v>0.29780769136472551</v>
      </c>
      <c r="F72"/>
      <c r="G72"/>
      <c r="H72"/>
      <c r="I72"/>
    </row>
    <row r="73" spans="1:9" x14ac:dyDescent="0.2">
      <c r="A73" s="28">
        <v>6</v>
      </c>
      <c r="B73" s="28">
        <v>298.14197724039821</v>
      </c>
      <c r="C73" s="28">
        <v>2.6680227596017971</v>
      </c>
      <c r="D73" s="28">
        <v>0.2399867937021016</v>
      </c>
      <c r="F73"/>
      <c r="G73"/>
      <c r="H73"/>
      <c r="I73"/>
    </row>
    <row r="74" spans="1:9" x14ac:dyDescent="0.2">
      <c r="A74" s="28">
        <v>7</v>
      </c>
      <c r="B74" s="28">
        <v>299.59479374110947</v>
      </c>
      <c r="C74" s="28">
        <v>-0.59479374110946992</v>
      </c>
      <c r="D74" s="28">
        <v>-5.3501283798734887E-2</v>
      </c>
      <c r="F74"/>
      <c r="G74"/>
      <c r="H74"/>
      <c r="I74"/>
    </row>
    <row r="75" spans="1:9" x14ac:dyDescent="0.2">
      <c r="A75" s="28">
        <v>8</v>
      </c>
      <c r="B75" s="28">
        <v>301.04761024182068</v>
      </c>
      <c r="C75" s="28">
        <v>-4.2076102418207029</v>
      </c>
      <c r="D75" s="28">
        <v>-0.37847161814818375</v>
      </c>
      <c r="F75"/>
      <c r="G75"/>
      <c r="H75"/>
      <c r="I75"/>
    </row>
    <row r="76" spans="1:9" x14ac:dyDescent="0.2">
      <c r="A76" s="28">
        <v>9</v>
      </c>
      <c r="B76" s="28">
        <v>302.50042674253194</v>
      </c>
      <c r="C76" s="28">
        <v>-7.1004267425319654</v>
      </c>
      <c r="D76" s="28">
        <v>-0.63867845269476919</v>
      </c>
      <c r="F76"/>
      <c r="G76"/>
      <c r="H76"/>
      <c r="I76"/>
    </row>
    <row r="77" spans="1:9" x14ac:dyDescent="0.2">
      <c r="A77" s="28">
        <v>10</v>
      </c>
      <c r="B77" s="28">
        <v>303.95324324324315</v>
      </c>
      <c r="C77" s="28">
        <v>-10.393243243243148</v>
      </c>
      <c r="D77" s="28">
        <v>-0.93486500935405092</v>
      </c>
      <c r="F77"/>
      <c r="G77"/>
      <c r="H77"/>
      <c r="I77"/>
    </row>
    <row r="78" spans="1:9" x14ac:dyDescent="0.2">
      <c r="A78" s="28">
        <v>11</v>
      </c>
      <c r="B78" s="28">
        <v>305.40605974395442</v>
      </c>
      <c r="C78" s="28">
        <v>-8.606059743954404</v>
      </c>
      <c r="D78" s="28">
        <v>-0.77410909518200632</v>
      </c>
      <c r="F78"/>
      <c r="G78"/>
      <c r="H78"/>
      <c r="I78"/>
    </row>
    <row r="79" spans="1:9" x14ac:dyDescent="0.2">
      <c r="A79" s="28">
        <v>12</v>
      </c>
      <c r="B79" s="28">
        <v>306.85887624466562</v>
      </c>
      <c r="C79" s="28">
        <v>-9.3288762446656506</v>
      </c>
      <c r="D79" s="28">
        <v>-0.83912593726717466</v>
      </c>
      <c r="F79"/>
      <c r="G79"/>
      <c r="H79"/>
      <c r="I79"/>
    </row>
    <row r="80" spans="1:9" x14ac:dyDescent="0.2">
      <c r="A80" s="28">
        <v>13</v>
      </c>
      <c r="B80" s="28">
        <v>308.31169274537689</v>
      </c>
      <c r="C80" s="28">
        <v>-4.6216927453768903</v>
      </c>
      <c r="D80" s="28">
        <v>-0.41571805167239406</v>
      </c>
      <c r="F80"/>
      <c r="G80"/>
      <c r="H80"/>
      <c r="I80"/>
    </row>
    <row r="81" spans="1:9" x14ac:dyDescent="0.2">
      <c r="A81" s="28">
        <v>14</v>
      </c>
      <c r="B81" s="28">
        <v>309.7645092460881</v>
      </c>
      <c r="C81" s="28">
        <v>-4.5645092460881074</v>
      </c>
      <c r="D81" s="28">
        <v>-0.41057443563778812</v>
      </c>
      <c r="F81"/>
      <c r="G81"/>
      <c r="H81"/>
      <c r="I81"/>
    </row>
    <row r="82" spans="1:9" x14ac:dyDescent="0.2">
      <c r="A82" s="28">
        <v>15</v>
      </c>
      <c r="B82" s="28">
        <v>311.21732574679936</v>
      </c>
      <c r="C82" s="28">
        <v>-3.0673257467993835</v>
      </c>
      <c r="D82" s="28">
        <v>-0.27590381999745534</v>
      </c>
      <c r="F82"/>
      <c r="G82"/>
      <c r="H82"/>
      <c r="I82"/>
    </row>
    <row r="83" spans="1:9" x14ac:dyDescent="0.2">
      <c r="A83" s="28">
        <v>16</v>
      </c>
      <c r="B83" s="28">
        <v>312.67014224751057</v>
      </c>
      <c r="C83" s="28">
        <v>-3.2101422475105892</v>
      </c>
      <c r="D83" s="28">
        <v>-0.28875006501920009</v>
      </c>
      <c r="F83"/>
      <c r="G83"/>
      <c r="H83"/>
      <c r="I83"/>
    </row>
    <row r="84" spans="1:9" x14ac:dyDescent="0.2">
      <c r="A84" s="28">
        <v>17</v>
      </c>
      <c r="B84" s="28">
        <v>314.12295874822183</v>
      </c>
      <c r="C84" s="28">
        <v>-3.1729587482218449</v>
      </c>
      <c r="D84" s="28">
        <v>-0.28540543509023275</v>
      </c>
      <c r="F84"/>
      <c r="G84"/>
      <c r="H84"/>
      <c r="I84"/>
    </row>
    <row r="85" spans="1:9" x14ac:dyDescent="0.2">
      <c r="A85" s="28">
        <v>18</v>
      </c>
      <c r="B85" s="28">
        <v>315.57577524893304</v>
      </c>
      <c r="C85" s="28">
        <v>11.234224751066961</v>
      </c>
      <c r="D85" s="28">
        <v>1.0105107117376084</v>
      </c>
      <c r="F85"/>
      <c r="G85"/>
      <c r="H85"/>
      <c r="I85"/>
    </row>
    <row r="86" spans="1:9" x14ac:dyDescent="0.2">
      <c r="A86" s="28">
        <v>19</v>
      </c>
      <c r="B86" s="28">
        <v>317.02859174964431</v>
      </c>
      <c r="C86" s="28">
        <v>3.2714082503557051</v>
      </c>
      <c r="D86" s="28">
        <v>0.29426089941250849</v>
      </c>
      <c r="F86"/>
      <c r="G86"/>
      <c r="H86"/>
      <c r="I86"/>
    </row>
    <row r="87" spans="1:9" x14ac:dyDescent="0.2">
      <c r="A87" s="28">
        <v>20</v>
      </c>
      <c r="B87" s="28">
        <v>318.48140825035551</v>
      </c>
      <c r="C87" s="28">
        <v>4.7985917496444586</v>
      </c>
      <c r="D87" s="28">
        <v>0.43162999421129666</v>
      </c>
      <c r="F87"/>
      <c r="G87"/>
      <c r="H87"/>
      <c r="I87"/>
    </row>
    <row r="88" spans="1:9" x14ac:dyDescent="0.2">
      <c r="A88" s="28">
        <v>21</v>
      </c>
      <c r="B88" s="28">
        <v>319.93422475106678</v>
      </c>
      <c r="C88" s="28">
        <v>2.9757752489332461</v>
      </c>
      <c r="D88" s="28">
        <v>0.26766891631619721</v>
      </c>
      <c r="F88"/>
      <c r="G88"/>
      <c r="H88"/>
      <c r="I88"/>
    </row>
    <row r="89" spans="1:9" x14ac:dyDescent="0.2">
      <c r="A89" s="28">
        <v>22</v>
      </c>
      <c r="B89" s="28">
        <v>321.38704125177799</v>
      </c>
      <c r="C89" s="28">
        <v>1.2729587482220381</v>
      </c>
      <c r="D89" s="28">
        <v>0.11450175505490916</v>
      </c>
      <c r="F89"/>
      <c r="G89"/>
      <c r="H89"/>
      <c r="I89"/>
    </row>
    <row r="90" spans="1:9" x14ac:dyDescent="0.2">
      <c r="A90" s="28">
        <v>23</v>
      </c>
      <c r="B90" s="28">
        <v>322.83985775248925</v>
      </c>
      <c r="C90" s="28">
        <v>-2.2398577524892289</v>
      </c>
      <c r="D90" s="28">
        <v>-0.20147364876636692</v>
      </c>
      <c r="F90"/>
      <c r="G90"/>
      <c r="H90"/>
      <c r="I90"/>
    </row>
    <row r="91" spans="1:9" x14ac:dyDescent="0.2">
      <c r="A91" s="28">
        <v>24</v>
      </c>
      <c r="B91" s="28">
        <v>324.29267425320052</v>
      </c>
      <c r="C91" s="28">
        <v>-6.8026742532005073</v>
      </c>
      <c r="D91" s="28">
        <v>-0.61189582313349034</v>
      </c>
      <c r="F91"/>
      <c r="G91"/>
      <c r="H91"/>
      <c r="I91"/>
    </row>
    <row r="92" spans="1:9" x14ac:dyDescent="0.2">
      <c r="A92" s="28">
        <v>25</v>
      </c>
      <c r="B92" s="28">
        <v>325.74549075391172</v>
      </c>
      <c r="C92" s="28">
        <v>-7.7054907539117039</v>
      </c>
      <c r="D92" s="28">
        <v>-0.6931035401693707</v>
      </c>
      <c r="F92"/>
      <c r="G92"/>
      <c r="H92"/>
      <c r="I92"/>
    </row>
    <row r="93" spans="1:9" x14ac:dyDescent="0.2">
      <c r="A93" s="28">
        <v>26</v>
      </c>
      <c r="B93" s="28">
        <v>327.19830725462293</v>
      </c>
      <c r="C93" s="28">
        <v>-12.618307254622948</v>
      </c>
      <c r="D93" s="28">
        <v>-1.1350079713851065</v>
      </c>
      <c r="F93"/>
      <c r="G93"/>
      <c r="H93"/>
      <c r="I93"/>
    </row>
    <row r="94" spans="1:9" x14ac:dyDescent="0.2">
      <c r="A94" s="28">
        <v>27</v>
      </c>
      <c r="B94" s="28">
        <v>328.6511237553342</v>
      </c>
      <c r="C94" s="28">
        <v>-7.7911237553341834</v>
      </c>
      <c r="D94" s="28">
        <v>-0.7008061691565145</v>
      </c>
      <c r="F94"/>
      <c r="G94"/>
      <c r="H94"/>
      <c r="I94"/>
    </row>
    <row r="95" spans="1:9" x14ac:dyDescent="0.2">
      <c r="A95" s="28">
        <v>28</v>
      </c>
      <c r="B95" s="28">
        <v>330.10394025604546</v>
      </c>
      <c r="C95" s="28">
        <v>-14.533940256045469</v>
      </c>
      <c r="D95" s="28">
        <v>-1.307317829037872</v>
      </c>
      <c r="F95"/>
      <c r="G95"/>
      <c r="H95"/>
      <c r="I95"/>
    </row>
    <row r="96" spans="1:9" x14ac:dyDescent="0.2">
      <c r="A96" s="28">
        <v>29</v>
      </c>
      <c r="B96" s="28">
        <v>331.55675675675667</v>
      </c>
      <c r="C96" s="28">
        <v>-15.236756756756677</v>
      </c>
      <c r="D96" s="28">
        <v>-1.3705356850174015</v>
      </c>
      <c r="F96"/>
      <c r="G96"/>
      <c r="H96"/>
      <c r="I96"/>
    </row>
    <row r="97" spans="1:9" x14ac:dyDescent="0.2">
      <c r="A97" s="28">
        <v>30</v>
      </c>
      <c r="B97" s="28">
        <v>333.00957325746793</v>
      </c>
      <c r="C97" s="28">
        <v>-13.409573257467912</v>
      </c>
      <c r="D97" s="28">
        <v>-1.2061817986340848</v>
      </c>
      <c r="F97"/>
      <c r="G97"/>
      <c r="H97"/>
      <c r="I97"/>
    </row>
    <row r="98" spans="1:9" x14ac:dyDescent="0.2">
      <c r="A98" s="28">
        <v>31</v>
      </c>
      <c r="B98" s="28">
        <v>334.46238975817914</v>
      </c>
      <c r="C98" s="28">
        <v>-8.002389758179163</v>
      </c>
      <c r="D98" s="28">
        <v>-0.71980939934207444</v>
      </c>
      <c r="F98"/>
      <c r="G98"/>
      <c r="H98"/>
      <c r="I98"/>
    </row>
    <row r="99" spans="1:9" x14ac:dyDescent="0.2">
      <c r="A99" s="28">
        <v>32</v>
      </c>
      <c r="B99" s="28">
        <v>335.91520625889041</v>
      </c>
      <c r="C99" s="28">
        <v>-11.275206258890421</v>
      </c>
      <c r="D99" s="28">
        <v>-1.0141969698957276</v>
      </c>
      <c r="F99"/>
      <c r="G99"/>
      <c r="H99"/>
      <c r="I99"/>
    </row>
    <row r="100" spans="1:9" x14ac:dyDescent="0.2">
      <c r="A100" s="28">
        <v>33</v>
      </c>
      <c r="B100" s="28">
        <v>337.36802275960162</v>
      </c>
      <c r="C100" s="28">
        <v>-5.1780227596016175</v>
      </c>
      <c r="D100" s="28">
        <v>-0.46575954995929908</v>
      </c>
      <c r="F100"/>
      <c r="G100"/>
      <c r="H100"/>
      <c r="I100"/>
    </row>
    <row r="101" spans="1:9" x14ac:dyDescent="0.2">
      <c r="A101" s="28">
        <v>34</v>
      </c>
      <c r="B101" s="28">
        <v>338.82083926031288</v>
      </c>
      <c r="C101" s="28">
        <v>-5.0608392603128891</v>
      </c>
      <c r="D101" s="28">
        <v>-0.45521897560779251</v>
      </c>
      <c r="F101"/>
      <c r="G101"/>
      <c r="H101"/>
      <c r="I101"/>
    </row>
    <row r="102" spans="1:9" x14ac:dyDescent="0.2">
      <c r="A102" s="28">
        <v>35</v>
      </c>
      <c r="B102" s="28">
        <v>340.27365576102409</v>
      </c>
      <c r="C102" s="28">
        <v>25.986344238975903</v>
      </c>
      <c r="D102" s="28">
        <v>2.3374536111085074</v>
      </c>
      <c r="F102"/>
      <c r="G102"/>
      <c r="H102"/>
      <c r="I102"/>
    </row>
    <row r="103" spans="1:9" x14ac:dyDescent="0.2">
      <c r="A103" s="28">
        <v>36</v>
      </c>
      <c r="B103" s="28">
        <v>341.72647226173535</v>
      </c>
      <c r="C103" s="28">
        <v>29.30352773826462</v>
      </c>
      <c r="D103" s="28">
        <v>2.6358319623616402</v>
      </c>
      <c r="F103"/>
      <c r="G103"/>
      <c r="H103"/>
      <c r="I103"/>
    </row>
    <row r="104" spans="1:9" x14ac:dyDescent="0.2">
      <c r="A104" s="28">
        <v>37</v>
      </c>
      <c r="B104" s="28">
        <v>343.17928876244656</v>
      </c>
      <c r="C104" s="28">
        <v>21.390711237553433</v>
      </c>
      <c r="D104" s="28">
        <v>1.9240796153006341</v>
      </c>
      <c r="F104"/>
      <c r="G104"/>
      <c r="H104"/>
      <c r="I104"/>
    </row>
    <row r="105" spans="1:9" ht="17" thickBot="1" x14ac:dyDescent="0.25">
      <c r="A105" s="29">
        <v>38</v>
      </c>
      <c r="B105" s="29">
        <v>344.63210526315783</v>
      </c>
      <c r="C105" s="29">
        <v>12.337894736842202</v>
      </c>
      <c r="D105" s="29">
        <v>1.1097850602184196</v>
      </c>
      <c r="F105"/>
      <c r="G105"/>
      <c r="H105"/>
      <c r="I105"/>
    </row>
    <row r="108" spans="1:9" x14ac:dyDescent="0.2">
      <c r="A108" s="15" t="s">
        <v>90</v>
      </c>
    </row>
    <row r="109" spans="1:9" x14ac:dyDescent="0.2">
      <c r="A109" s="16" t="s">
        <v>53</v>
      </c>
      <c r="B109" s="16" t="s">
        <v>54</v>
      </c>
      <c r="C109" s="16" t="s">
        <v>63</v>
      </c>
      <c r="D109" s="16" t="s">
        <v>64</v>
      </c>
    </row>
    <row r="110" spans="1:9" x14ac:dyDescent="0.2">
      <c r="A110" s="26">
        <v>45873</v>
      </c>
      <c r="B110" s="20">
        <v>1841900</v>
      </c>
      <c r="C110" s="16">
        <v>358.78</v>
      </c>
      <c r="D110" s="16">
        <v>364.88</v>
      </c>
    </row>
    <row r="111" spans="1:9" x14ac:dyDescent="0.2">
      <c r="A111" s="26">
        <v>45874</v>
      </c>
      <c r="B111" s="20">
        <v>1682100</v>
      </c>
      <c r="C111" s="16">
        <v>366.2</v>
      </c>
      <c r="D111" s="16">
        <v>360.5</v>
      </c>
    </row>
    <row r="112" spans="1:9" x14ac:dyDescent="0.2">
      <c r="A112" s="26">
        <v>45875</v>
      </c>
      <c r="B112" s="20">
        <v>1058800</v>
      </c>
      <c r="C112" s="16">
        <v>361.86</v>
      </c>
      <c r="D112" s="16">
        <v>360.16</v>
      </c>
    </row>
    <row r="113" spans="1:4" x14ac:dyDescent="0.2">
      <c r="A113" s="26">
        <v>45876</v>
      </c>
      <c r="B113" s="20">
        <v>1526600</v>
      </c>
      <c r="C113" s="16">
        <v>363.02</v>
      </c>
      <c r="D113" s="16">
        <v>354.33</v>
      </c>
    </row>
    <row r="114" spans="1:4" x14ac:dyDescent="0.2">
      <c r="A114" s="26">
        <v>45877</v>
      </c>
      <c r="B114" s="20">
        <v>1373000</v>
      </c>
      <c r="C114" s="16">
        <v>356.43</v>
      </c>
      <c r="D114" s="16">
        <v>352.06</v>
      </c>
    </row>
    <row r="115" spans="1:4" x14ac:dyDescent="0.2">
      <c r="A115" s="26">
        <v>45880</v>
      </c>
      <c r="B115" s="20">
        <v>1624500</v>
      </c>
      <c r="C115" s="16">
        <v>352.08</v>
      </c>
      <c r="D115" s="16">
        <v>349.09</v>
      </c>
    </row>
    <row r="116" spans="1:4" x14ac:dyDescent="0.2">
      <c r="A116" s="26">
        <v>45881</v>
      </c>
      <c r="B116" s="20">
        <v>1263000</v>
      </c>
      <c r="C116" s="16">
        <v>349.09</v>
      </c>
      <c r="D116" s="16">
        <v>353.61</v>
      </c>
    </row>
    <row r="117" spans="1:4" x14ac:dyDescent="0.2">
      <c r="A117" s="26">
        <v>45882</v>
      </c>
      <c r="B117" s="20">
        <v>1208400</v>
      </c>
      <c r="C117" s="16">
        <v>356.04</v>
      </c>
      <c r="D117" s="16">
        <v>349.12</v>
      </c>
    </row>
    <row r="118" spans="1:4" x14ac:dyDescent="0.2">
      <c r="A118" s="26">
        <v>45883</v>
      </c>
      <c r="B118" s="20">
        <v>1220400</v>
      </c>
      <c r="C118" s="16">
        <v>348.33</v>
      </c>
      <c r="D118" s="16">
        <v>348.92</v>
      </c>
    </row>
    <row r="119" spans="1:4" x14ac:dyDescent="0.2">
      <c r="A119" s="26">
        <v>45884</v>
      </c>
      <c r="B119" s="20">
        <v>1567700</v>
      </c>
      <c r="C119" s="16">
        <v>349.05</v>
      </c>
      <c r="D119" s="16">
        <v>349.88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F082-873A-384A-8F0C-DCD322F9EFA0}">
  <dimension ref="A1:I119"/>
  <sheetViews>
    <sheetView topLeftCell="A97" workbookViewId="0">
      <selection activeCell="F113" sqref="F113"/>
    </sheetView>
  </sheetViews>
  <sheetFormatPr baseColWidth="10" defaultRowHeight="16" x14ac:dyDescent="0.2"/>
  <cols>
    <col min="1" max="1" width="11" style="1" bestFit="1" customWidth="1"/>
    <col min="2" max="2" width="11.83203125" style="1" bestFit="1" customWidth="1"/>
    <col min="3" max="4" width="11" style="1" bestFit="1" customWidth="1"/>
    <col min="6" max="16384" width="10.83203125" style="1"/>
  </cols>
  <sheetData>
    <row r="1" spans="1:6" x14ac:dyDescent="0.2">
      <c r="A1" s="16" t="s">
        <v>53</v>
      </c>
      <c r="B1" s="16" t="s">
        <v>54</v>
      </c>
      <c r="C1" s="16" t="s">
        <v>34</v>
      </c>
      <c r="D1" s="16" t="s">
        <v>55</v>
      </c>
      <c r="E1" s="1" t="s">
        <v>56</v>
      </c>
      <c r="F1" s="1" t="s">
        <v>57</v>
      </c>
    </row>
    <row r="2" spans="1:6" ht="18" x14ac:dyDescent="0.2">
      <c r="A2" s="17">
        <v>45817</v>
      </c>
      <c r="B2" s="19">
        <v>14841700</v>
      </c>
      <c r="C2" s="18">
        <v>1</v>
      </c>
      <c r="D2" s="18">
        <v>31.98</v>
      </c>
      <c r="E2" s="1"/>
      <c r="F2" s="1" cm="1">
        <f t="array" ref="F2">SUMPRODUCT(--(D7:D39&gt;E7:E39))/33</f>
        <v>0.72727272727272729</v>
      </c>
    </row>
    <row r="3" spans="1:6" ht="18" x14ac:dyDescent="0.2">
      <c r="A3" s="17">
        <v>45818</v>
      </c>
      <c r="B3" s="19">
        <v>24562700</v>
      </c>
      <c r="C3" s="18">
        <v>2</v>
      </c>
      <c r="D3" s="18">
        <v>32.61</v>
      </c>
      <c r="E3" s="18"/>
      <c r="F3" s="18"/>
    </row>
    <row r="4" spans="1:6" ht="18" x14ac:dyDescent="0.2">
      <c r="A4" s="17">
        <v>45819</v>
      </c>
      <c r="B4" s="19">
        <v>12114200</v>
      </c>
      <c r="C4" s="18">
        <v>3</v>
      </c>
      <c r="D4" s="18">
        <v>32.32</v>
      </c>
      <c r="E4" s="18"/>
      <c r="F4" s="18"/>
    </row>
    <row r="5" spans="1:6" ht="18" x14ac:dyDescent="0.2">
      <c r="A5" s="17">
        <v>45820</v>
      </c>
      <c r="B5" s="19">
        <v>9380500</v>
      </c>
      <c r="C5" s="18">
        <v>4</v>
      </c>
      <c r="D5" s="18">
        <v>32.39</v>
      </c>
      <c r="E5" s="18"/>
      <c r="F5" s="18"/>
    </row>
    <row r="6" spans="1:6" ht="18" x14ac:dyDescent="0.2">
      <c r="A6" s="17">
        <v>45821</v>
      </c>
      <c r="B6" s="19">
        <v>9032700</v>
      </c>
      <c r="C6" s="18">
        <v>5</v>
      </c>
      <c r="D6" s="18">
        <v>32.119999999999997</v>
      </c>
      <c r="E6" s="18"/>
      <c r="F6" s="18"/>
    </row>
    <row r="7" spans="1:6" ht="18" x14ac:dyDescent="0.2">
      <c r="A7" s="17">
        <v>45824</v>
      </c>
      <c r="B7" s="19">
        <v>11703600</v>
      </c>
      <c r="C7" s="18">
        <v>6</v>
      </c>
      <c r="D7" s="18">
        <v>32.56</v>
      </c>
      <c r="E7" s="18">
        <f>AVERAGE(D2:D6)</f>
        <v>32.284000000000006</v>
      </c>
      <c r="F7" s="18"/>
    </row>
    <row r="8" spans="1:6" ht="18" x14ac:dyDescent="0.2">
      <c r="A8" s="17">
        <v>45825</v>
      </c>
      <c r="B8" s="19">
        <v>12951300</v>
      </c>
      <c r="C8" s="18">
        <v>7</v>
      </c>
      <c r="D8" s="18">
        <v>32.119999999999997</v>
      </c>
      <c r="E8" s="18">
        <f t="shared" ref="E8:E39" si="0">AVERAGE(D3:D7)</f>
        <v>32.4</v>
      </c>
    </row>
    <row r="9" spans="1:6" ht="18" x14ac:dyDescent="0.2">
      <c r="A9" s="17">
        <v>45826</v>
      </c>
      <c r="B9" s="19">
        <v>12808100</v>
      </c>
      <c r="C9" s="18">
        <v>8</v>
      </c>
      <c r="D9" s="18">
        <v>32.24</v>
      </c>
      <c r="E9" s="18">
        <f t="shared" si="0"/>
        <v>32.302000000000007</v>
      </c>
    </row>
    <row r="10" spans="1:6" ht="18" x14ac:dyDescent="0.2">
      <c r="A10" s="17">
        <v>45828</v>
      </c>
      <c r="B10" s="19">
        <v>31011100</v>
      </c>
      <c r="C10" s="18">
        <v>9</v>
      </c>
      <c r="D10" s="18">
        <v>32.06</v>
      </c>
      <c r="E10" s="18">
        <f t="shared" si="0"/>
        <v>32.286000000000001</v>
      </c>
    </row>
    <row r="11" spans="1:6" ht="18" x14ac:dyDescent="0.2">
      <c r="A11" s="17">
        <v>45831</v>
      </c>
      <c r="B11" s="19">
        <v>12350200</v>
      </c>
      <c r="C11" s="18">
        <v>10</v>
      </c>
      <c r="D11" s="18">
        <v>32.42</v>
      </c>
      <c r="E11" s="18">
        <f t="shared" si="0"/>
        <v>32.220000000000006</v>
      </c>
    </row>
    <row r="12" spans="1:6" ht="18" x14ac:dyDescent="0.2">
      <c r="A12" s="17">
        <v>45832</v>
      </c>
      <c r="B12" s="19">
        <v>12913900</v>
      </c>
      <c r="C12" s="18">
        <v>11</v>
      </c>
      <c r="D12" s="18">
        <v>32.479999999999997</v>
      </c>
      <c r="E12" s="18">
        <f t="shared" si="0"/>
        <v>32.280000000000008</v>
      </c>
    </row>
    <row r="13" spans="1:6" ht="18" x14ac:dyDescent="0.2">
      <c r="A13" s="17">
        <v>45833</v>
      </c>
      <c r="B13" s="19">
        <v>11235100</v>
      </c>
      <c r="C13" s="18">
        <v>12</v>
      </c>
      <c r="D13" s="18">
        <v>32.49</v>
      </c>
      <c r="E13" s="18">
        <f t="shared" si="0"/>
        <v>32.263999999999996</v>
      </c>
    </row>
    <row r="14" spans="1:6" ht="18" x14ac:dyDescent="0.2">
      <c r="A14" s="17">
        <v>45834</v>
      </c>
      <c r="B14" s="19">
        <v>12447700</v>
      </c>
      <c r="C14" s="18">
        <v>13</v>
      </c>
      <c r="D14" s="18">
        <v>32.57</v>
      </c>
      <c r="E14" s="18">
        <f t="shared" si="0"/>
        <v>32.338000000000008</v>
      </c>
    </row>
    <row r="15" spans="1:6" ht="18" x14ac:dyDescent="0.2">
      <c r="A15" s="17">
        <v>45835</v>
      </c>
      <c r="B15" s="19">
        <v>20445500</v>
      </c>
      <c r="C15" s="18">
        <v>14</v>
      </c>
      <c r="D15" s="18">
        <v>32.909999999999997</v>
      </c>
      <c r="E15" s="18">
        <f t="shared" si="0"/>
        <v>32.404000000000003</v>
      </c>
    </row>
    <row r="16" spans="1:6" ht="18" x14ac:dyDescent="0.2">
      <c r="A16" s="17">
        <v>45838</v>
      </c>
      <c r="B16" s="19">
        <v>12112500</v>
      </c>
      <c r="C16" s="18">
        <v>15</v>
      </c>
      <c r="D16" s="18">
        <v>32.630000000000003</v>
      </c>
      <c r="E16" s="18">
        <f t="shared" si="0"/>
        <v>32.573999999999998</v>
      </c>
    </row>
    <row r="17" spans="1:5" ht="18" x14ac:dyDescent="0.2">
      <c r="A17" s="17">
        <v>45839</v>
      </c>
      <c r="B17" s="19">
        <v>12862800</v>
      </c>
      <c r="C17" s="18">
        <v>16</v>
      </c>
      <c r="D17" s="18">
        <v>33.47</v>
      </c>
      <c r="E17" s="18">
        <f t="shared" si="0"/>
        <v>32.616</v>
      </c>
    </row>
    <row r="18" spans="1:5" ht="18" x14ac:dyDescent="0.2">
      <c r="A18" s="17">
        <v>45840</v>
      </c>
      <c r="B18" s="19">
        <v>8596900</v>
      </c>
      <c r="C18" s="18">
        <v>17</v>
      </c>
      <c r="D18" s="18">
        <v>33.61</v>
      </c>
      <c r="E18" s="18">
        <f t="shared" si="0"/>
        <v>32.814</v>
      </c>
    </row>
    <row r="19" spans="1:5" ht="18" x14ac:dyDescent="0.2">
      <c r="A19" s="17">
        <v>45841</v>
      </c>
      <c r="B19" s="19">
        <v>5638800</v>
      </c>
      <c r="C19" s="18">
        <v>18</v>
      </c>
      <c r="D19" s="18">
        <v>33.6</v>
      </c>
      <c r="E19" s="18">
        <f t="shared" si="0"/>
        <v>33.037999999999997</v>
      </c>
    </row>
    <row r="20" spans="1:5" ht="18" x14ac:dyDescent="0.2">
      <c r="A20" s="17">
        <v>45845</v>
      </c>
      <c r="B20" s="19">
        <v>11868800</v>
      </c>
      <c r="C20" s="18">
        <v>19</v>
      </c>
      <c r="D20" s="18">
        <v>33.049999999999997</v>
      </c>
      <c r="E20" s="18">
        <f t="shared" si="0"/>
        <v>33.244</v>
      </c>
    </row>
    <row r="21" spans="1:5" ht="18" x14ac:dyDescent="0.2">
      <c r="A21" s="17">
        <v>45846</v>
      </c>
      <c r="B21" s="19">
        <v>11249500</v>
      </c>
      <c r="C21" s="18">
        <v>20</v>
      </c>
      <c r="D21" s="18">
        <v>33.39</v>
      </c>
      <c r="E21" s="18">
        <f t="shared" si="0"/>
        <v>33.272000000000006</v>
      </c>
    </row>
    <row r="22" spans="1:5" ht="18" x14ac:dyDescent="0.2">
      <c r="A22" s="17">
        <v>45847</v>
      </c>
      <c r="B22" s="19">
        <v>9174600</v>
      </c>
      <c r="C22" s="18">
        <v>21</v>
      </c>
      <c r="D22" s="18">
        <v>33.33</v>
      </c>
      <c r="E22" s="18">
        <f>AVERAGE(D17:D21)</f>
        <v>33.423999999999999</v>
      </c>
    </row>
    <row r="23" spans="1:5" ht="18" x14ac:dyDescent="0.2">
      <c r="A23" s="17">
        <v>45848</v>
      </c>
      <c r="B23" s="19">
        <v>9782600</v>
      </c>
      <c r="C23" s="18">
        <v>22</v>
      </c>
      <c r="D23" s="18">
        <v>33.54</v>
      </c>
      <c r="E23" s="18">
        <f t="shared" si="0"/>
        <v>33.396000000000001</v>
      </c>
    </row>
    <row r="24" spans="1:5" ht="18" x14ac:dyDescent="0.2">
      <c r="A24" s="17">
        <v>45849</v>
      </c>
      <c r="B24" s="19">
        <v>27262000</v>
      </c>
      <c r="C24" s="18">
        <v>23</v>
      </c>
      <c r="D24" s="18">
        <v>34.1</v>
      </c>
      <c r="E24" s="18">
        <f t="shared" si="0"/>
        <v>33.381999999999998</v>
      </c>
    </row>
    <row r="25" spans="1:5" ht="18" x14ac:dyDescent="0.2">
      <c r="A25" s="17">
        <v>45852</v>
      </c>
      <c r="B25" s="19">
        <v>15303800</v>
      </c>
      <c r="C25" s="18">
        <v>24</v>
      </c>
      <c r="D25" s="18">
        <v>33.979999999999997</v>
      </c>
      <c r="E25" s="18">
        <f t="shared" si="0"/>
        <v>33.481999999999999</v>
      </c>
    </row>
    <row r="26" spans="1:5" ht="18" x14ac:dyDescent="0.2">
      <c r="A26" s="17">
        <v>45853</v>
      </c>
      <c r="B26" s="19">
        <v>16506000</v>
      </c>
      <c r="C26" s="18">
        <v>25</v>
      </c>
      <c r="D26" s="18">
        <v>33.479999999999997</v>
      </c>
      <c r="E26" s="18">
        <f t="shared" si="0"/>
        <v>33.667999999999992</v>
      </c>
    </row>
    <row r="27" spans="1:5" ht="18" x14ac:dyDescent="0.2">
      <c r="A27" s="17">
        <v>45854</v>
      </c>
      <c r="B27" s="19">
        <v>11556300</v>
      </c>
      <c r="C27" s="18">
        <v>26</v>
      </c>
      <c r="D27" s="18">
        <v>33.26</v>
      </c>
      <c r="E27" s="18">
        <f t="shared" si="0"/>
        <v>33.685999999999993</v>
      </c>
    </row>
    <row r="28" spans="1:5" ht="18" x14ac:dyDescent="0.2">
      <c r="A28" s="17">
        <v>45855</v>
      </c>
      <c r="B28" s="19">
        <v>28892700</v>
      </c>
      <c r="C28" s="18">
        <v>27</v>
      </c>
      <c r="D28" s="18">
        <v>34.5</v>
      </c>
      <c r="E28" s="18">
        <f t="shared" si="0"/>
        <v>33.671999999999997</v>
      </c>
    </row>
    <row r="29" spans="1:5" ht="18" x14ac:dyDescent="0.2">
      <c r="A29" s="17">
        <v>45856</v>
      </c>
      <c r="B29" s="19">
        <v>24854000</v>
      </c>
      <c r="C29" s="18">
        <v>28</v>
      </c>
      <c r="D29" s="18">
        <v>34.39</v>
      </c>
      <c r="E29" s="18">
        <f t="shared" si="0"/>
        <v>33.863999999999997</v>
      </c>
    </row>
    <row r="30" spans="1:5" ht="18" x14ac:dyDescent="0.2">
      <c r="A30" s="17">
        <v>45859</v>
      </c>
      <c r="B30" s="19">
        <v>12531900</v>
      </c>
      <c r="C30" s="18">
        <v>29</v>
      </c>
      <c r="D30" s="18">
        <v>34.36</v>
      </c>
      <c r="E30" s="18">
        <f t="shared" si="0"/>
        <v>33.922000000000004</v>
      </c>
    </row>
    <row r="31" spans="1:5" ht="18" x14ac:dyDescent="0.2">
      <c r="A31" s="17">
        <v>45860</v>
      </c>
      <c r="B31" s="19">
        <v>20967000</v>
      </c>
      <c r="C31" s="18">
        <v>30</v>
      </c>
      <c r="D31" s="18">
        <v>35.229999999999997</v>
      </c>
      <c r="E31" s="18">
        <f t="shared" si="0"/>
        <v>33.998000000000005</v>
      </c>
    </row>
    <row r="32" spans="1:5" ht="18" x14ac:dyDescent="0.2">
      <c r="A32" s="17">
        <v>45861</v>
      </c>
      <c r="B32" s="19">
        <v>32168300</v>
      </c>
      <c r="C32" s="18">
        <v>31</v>
      </c>
      <c r="D32" s="18">
        <v>34.97</v>
      </c>
      <c r="E32" s="18">
        <f t="shared" si="0"/>
        <v>34.347999999999999</v>
      </c>
    </row>
    <row r="33" spans="1:9" ht="18" x14ac:dyDescent="0.2">
      <c r="A33" s="17">
        <v>45862</v>
      </c>
      <c r="B33" s="19">
        <v>34910300</v>
      </c>
      <c r="C33" s="18">
        <v>32</v>
      </c>
      <c r="D33" s="18">
        <v>35</v>
      </c>
      <c r="E33" s="18">
        <f t="shared" si="0"/>
        <v>34.69</v>
      </c>
    </row>
    <row r="34" spans="1:9" ht="18" x14ac:dyDescent="0.2">
      <c r="A34" s="17">
        <v>45863</v>
      </c>
      <c r="B34" s="19">
        <v>31707900</v>
      </c>
      <c r="C34" s="18">
        <v>33</v>
      </c>
      <c r="D34" s="18">
        <v>35.76</v>
      </c>
      <c r="E34" s="18">
        <f t="shared" si="0"/>
        <v>34.79</v>
      </c>
    </row>
    <row r="35" spans="1:9" ht="18" x14ac:dyDescent="0.2">
      <c r="A35" s="17">
        <v>45866</v>
      </c>
      <c r="B35" s="19">
        <v>21514400</v>
      </c>
      <c r="C35" s="18">
        <v>34</v>
      </c>
      <c r="D35" s="18">
        <v>35.71</v>
      </c>
      <c r="E35" s="18">
        <f t="shared" si="0"/>
        <v>35.064</v>
      </c>
    </row>
    <row r="36" spans="1:9" ht="18" x14ac:dyDescent="0.2">
      <c r="A36" s="17">
        <v>45867</v>
      </c>
      <c r="B36" s="19">
        <v>42665900</v>
      </c>
      <c r="C36" s="18">
        <v>35</v>
      </c>
      <c r="D36" s="18">
        <v>35.42</v>
      </c>
      <c r="E36" s="18">
        <f t="shared" si="0"/>
        <v>35.333999999999996</v>
      </c>
    </row>
    <row r="37" spans="1:9" ht="18" x14ac:dyDescent="0.2">
      <c r="A37" s="17">
        <v>45868</v>
      </c>
      <c r="B37" s="19">
        <v>12823600</v>
      </c>
      <c r="C37" s="18">
        <v>36</v>
      </c>
      <c r="D37" s="18">
        <v>35.29</v>
      </c>
      <c r="E37" s="18">
        <f t="shared" si="0"/>
        <v>35.372</v>
      </c>
    </row>
    <row r="38" spans="1:9" ht="18" x14ac:dyDescent="0.2">
      <c r="A38" s="17">
        <v>45869</v>
      </c>
      <c r="B38" s="19">
        <v>26361300</v>
      </c>
      <c r="C38" s="18">
        <v>37</v>
      </c>
      <c r="D38" s="18">
        <v>35.54</v>
      </c>
      <c r="E38" s="18">
        <f t="shared" si="0"/>
        <v>35.435999999999993</v>
      </c>
    </row>
    <row r="39" spans="1:9" ht="18" x14ac:dyDescent="0.2">
      <c r="A39" s="17">
        <v>45870</v>
      </c>
      <c r="B39" s="19">
        <v>19266500</v>
      </c>
      <c r="C39" s="18">
        <v>38</v>
      </c>
      <c r="D39" s="18">
        <v>35.01</v>
      </c>
      <c r="E39" s="18">
        <f>AVERAGE(D34:D38)</f>
        <v>35.543999999999997</v>
      </c>
    </row>
    <row r="40" spans="1:9" x14ac:dyDescent="0.2">
      <c r="E40" s="1"/>
    </row>
    <row r="42" spans="1:9" x14ac:dyDescent="0.2">
      <c r="A42" s="27" t="s">
        <v>81</v>
      </c>
    </row>
    <row r="44" spans="1:9" x14ac:dyDescent="0.2">
      <c r="A44" t="s">
        <v>6</v>
      </c>
      <c r="B44"/>
      <c r="C44"/>
      <c r="D44"/>
      <c r="F44"/>
      <c r="G44"/>
      <c r="H44"/>
      <c r="I44"/>
    </row>
    <row r="45" spans="1:9" ht="17" thickBot="1" x14ac:dyDescent="0.25">
      <c r="A45"/>
      <c r="B45"/>
      <c r="C45"/>
      <c r="D45"/>
      <c r="F45"/>
      <c r="G45"/>
      <c r="H45"/>
      <c r="I45"/>
    </row>
    <row r="46" spans="1:9" x14ac:dyDescent="0.2">
      <c r="A46" s="31" t="s">
        <v>7</v>
      </c>
      <c r="B46" s="31"/>
      <c r="C46"/>
      <c r="D46"/>
      <c r="F46"/>
      <c r="G46"/>
      <c r="H46"/>
      <c r="I46"/>
    </row>
    <row r="47" spans="1:9" x14ac:dyDescent="0.2">
      <c r="A47" s="28" t="s">
        <v>8</v>
      </c>
      <c r="B47" s="28">
        <v>0.94172935779057776</v>
      </c>
      <c r="C47"/>
      <c r="D47"/>
      <c r="F47"/>
      <c r="G47"/>
      <c r="H47"/>
      <c r="I47"/>
    </row>
    <row r="48" spans="1:9" x14ac:dyDescent="0.2">
      <c r="A48" s="28" t="s">
        <v>9</v>
      </c>
      <c r="B48" s="28">
        <v>0.88685418332465404</v>
      </c>
      <c r="C48"/>
      <c r="D48"/>
      <c r="F48"/>
      <c r="G48"/>
      <c r="H48"/>
      <c r="I48"/>
    </row>
    <row r="49" spans="1:9" x14ac:dyDescent="0.2">
      <c r="A49" s="28" t="s">
        <v>10</v>
      </c>
      <c r="B49" s="28">
        <v>0.88371124397256118</v>
      </c>
      <c r="C49"/>
      <c r="D49"/>
      <c r="F49"/>
      <c r="G49"/>
      <c r="H49"/>
      <c r="I49"/>
    </row>
    <row r="50" spans="1:9" x14ac:dyDescent="0.2">
      <c r="A50" s="28" t="s">
        <v>11</v>
      </c>
      <c r="B50" s="28">
        <v>0.40903506794933686</v>
      </c>
      <c r="C50"/>
      <c r="D50"/>
      <c r="F50"/>
      <c r="G50"/>
      <c r="H50"/>
      <c r="I50"/>
    </row>
    <row r="51" spans="1:9" ht="17" thickBot="1" x14ac:dyDescent="0.25">
      <c r="A51" s="29" t="s">
        <v>12</v>
      </c>
      <c r="B51" s="29">
        <v>38</v>
      </c>
      <c r="C51"/>
      <c r="D51"/>
      <c r="F51"/>
      <c r="G51"/>
      <c r="H51"/>
      <c r="I51"/>
    </row>
    <row r="52" spans="1:9" x14ac:dyDescent="0.2">
      <c r="A52"/>
      <c r="B52"/>
      <c r="C52"/>
      <c r="D52"/>
      <c r="F52"/>
      <c r="G52"/>
      <c r="H52"/>
      <c r="I52"/>
    </row>
    <row r="53" spans="1:9" ht="17" thickBot="1" x14ac:dyDescent="0.25">
      <c r="A53" t="s">
        <v>13</v>
      </c>
      <c r="B53"/>
      <c r="C53"/>
      <c r="D53"/>
      <c r="F53"/>
      <c r="G53"/>
      <c r="H53"/>
      <c r="I53"/>
    </row>
    <row r="54" spans="1:9" x14ac:dyDescent="0.2">
      <c r="A54" s="30"/>
      <c r="B54" s="30" t="s">
        <v>18</v>
      </c>
      <c r="C54" s="30" t="s">
        <v>19</v>
      </c>
      <c r="D54" s="30" t="s">
        <v>20</v>
      </c>
      <c r="E54" s="30" t="s">
        <v>21</v>
      </c>
      <c r="F54" s="30" t="s">
        <v>22</v>
      </c>
      <c r="G54"/>
      <c r="H54"/>
      <c r="I54"/>
    </row>
    <row r="55" spans="1:9" x14ac:dyDescent="0.2">
      <c r="A55" s="28" t="s">
        <v>14</v>
      </c>
      <c r="B55" s="28">
        <v>1</v>
      </c>
      <c r="C55" s="28">
        <v>47.210359169493344</v>
      </c>
      <c r="D55" s="28">
        <v>47.210359169493344</v>
      </c>
      <c r="E55" s="28">
        <v>282.17349556366128</v>
      </c>
      <c r="F55" s="28">
        <v>1.2909024349218643E-18</v>
      </c>
      <c r="G55"/>
      <c r="H55"/>
      <c r="I55"/>
    </row>
    <row r="56" spans="1:9" x14ac:dyDescent="0.2">
      <c r="A56" s="28" t="s">
        <v>15</v>
      </c>
      <c r="B56" s="28">
        <v>36</v>
      </c>
      <c r="C56" s="28">
        <v>6.0231487252434697</v>
      </c>
      <c r="D56" s="28">
        <v>0.16730968681231861</v>
      </c>
      <c r="E56" s="28"/>
      <c r="F56" s="28"/>
      <c r="G56"/>
      <c r="H56"/>
      <c r="I56"/>
    </row>
    <row r="57" spans="1:9" ht="17" thickBot="1" x14ac:dyDescent="0.25">
      <c r="A57" s="29" t="s">
        <v>16</v>
      </c>
      <c r="B57" s="29">
        <v>37</v>
      </c>
      <c r="C57" s="29">
        <v>53.233507894736817</v>
      </c>
      <c r="D57" s="29"/>
      <c r="E57" s="29"/>
      <c r="F57" s="29"/>
      <c r="G57"/>
      <c r="H57"/>
      <c r="I57"/>
    </row>
    <row r="58" spans="1:9" ht="17" thickBot="1" x14ac:dyDescent="0.25">
      <c r="A58"/>
      <c r="B58"/>
      <c r="C58"/>
      <c r="D58"/>
      <c r="F58"/>
      <c r="G58"/>
      <c r="H58"/>
      <c r="I58"/>
    </row>
    <row r="59" spans="1:9" x14ac:dyDescent="0.2">
      <c r="A59" s="30"/>
      <c r="B59" s="30" t="s">
        <v>23</v>
      </c>
      <c r="C59" s="30" t="s">
        <v>11</v>
      </c>
      <c r="D59" s="30" t="s">
        <v>24</v>
      </c>
      <c r="E59" s="30" t="s">
        <v>25</v>
      </c>
      <c r="F59" s="30" t="s">
        <v>26</v>
      </c>
      <c r="G59" s="30" t="s">
        <v>27</v>
      </c>
      <c r="H59" s="30" t="s">
        <v>28</v>
      </c>
      <c r="I59" s="30" t="s">
        <v>29</v>
      </c>
    </row>
    <row r="60" spans="1:9" x14ac:dyDescent="0.2">
      <c r="A60" s="28" t="s">
        <v>17</v>
      </c>
      <c r="B60" s="28">
        <v>31.593982930298726</v>
      </c>
      <c r="C60" s="28">
        <v>0.13537181233195389</v>
      </c>
      <c r="D60" s="28">
        <v>233.38671755996808</v>
      </c>
      <c r="E60" s="28">
        <v>7.5587221395508938E-59</v>
      </c>
      <c r="F60" s="28">
        <v>31.319436169806437</v>
      </c>
      <c r="G60" s="28">
        <v>31.868529690791014</v>
      </c>
      <c r="H60" s="28">
        <v>31.319436169806437</v>
      </c>
      <c r="I60" s="28">
        <v>31.868529690791014</v>
      </c>
    </row>
    <row r="61" spans="1:9" ht="17" thickBot="1" x14ac:dyDescent="0.25">
      <c r="A61" s="29" t="s">
        <v>34</v>
      </c>
      <c r="B61" s="29">
        <v>0.10164460006565265</v>
      </c>
      <c r="C61" s="29">
        <v>6.0509867548498332E-3</v>
      </c>
      <c r="D61" s="29">
        <v>16.79802058468977</v>
      </c>
      <c r="E61" s="29">
        <v>1.2909024349218736E-18</v>
      </c>
      <c r="F61" s="29">
        <v>8.9372630128129529E-2</v>
      </c>
      <c r="G61" s="29">
        <v>0.11391657000317577</v>
      </c>
      <c r="H61" s="29">
        <v>8.9372630128129529E-2</v>
      </c>
      <c r="I61" s="29">
        <v>0.11391657000317577</v>
      </c>
    </row>
    <row r="62" spans="1:9" x14ac:dyDescent="0.2">
      <c r="A62"/>
      <c r="B62"/>
      <c r="C62"/>
      <c r="D62"/>
      <c r="F62"/>
      <c r="G62"/>
      <c r="H62"/>
      <c r="I62"/>
    </row>
    <row r="63" spans="1:9" x14ac:dyDescent="0.2">
      <c r="A63"/>
      <c r="B63"/>
      <c r="C63"/>
      <c r="D63"/>
      <c r="F63"/>
      <c r="G63"/>
      <c r="H63"/>
      <c r="I63"/>
    </row>
    <row r="64" spans="1:9" x14ac:dyDescent="0.2">
      <c r="A64"/>
      <c r="B64"/>
      <c r="C64"/>
      <c r="D64"/>
      <c r="F64"/>
      <c r="G64"/>
      <c r="H64"/>
      <c r="I64"/>
    </row>
    <row r="65" spans="1:9" x14ac:dyDescent="0.2">
      <c r="A65" t="s">
        <v>30</v>
      </c>
      <c r="B65"/>
      <c r="C65"/>
      <c r="D65"/>
      <c r="F65"/>
      <c r="G65"/>
      <c r="H65"/>
      <c r="I65"/>
    </row>
    <row r="66" spans="1:9" ht="17" thickBot="1" x14ac:dyDescent="0.25">
      <c r="A66"/>
      <c r="B66"/>
      <c r="C66"/>
      <c r="D66"/>
      <c r="F66"/>
      <c r="G66"/>
      <c r="H66"/>
      <c r="I66"/>
    </row>
    <row r="67" spans="1:9" x14ac:dyDescent="0.2">
      <c r="A67" s="30" t="s">
        <v>31</v>
      </c>
      <c r="B67" s="30" t="s">
        <v>35</v>
      </c>
      <c r="C67" s="30" t="s">
        <v>32</v>
      </c>
      <c r="D67" s="30" t="s">
        <v>33</v>
      </c>
      <c r="F67"/>
      <c r="G67"/>
      <c r="H67"/>
      <c r="I67"/>
    </row>
    <row r="68" spans="1:9" x14ac:dyDescent="0.2">
      <c r="A68" s="28">
        <v>1</v>
      </c>
      <c r="B68" s="28">
        <v>31.69562753036438</v>
      </c>
      <c r="C68" s="28">
        <v>0.28437246963562046</v>
      </c>
      <c r="D68" s="28">
        <v>0.70481740176947782</v>
      </c>
      <c r="F68"/>
      <c r="G68"/>
      <c r="H68"/>
      <c r="I68"/>
    </row>
    <row r="69" spans="1:9" x14ac:dyDescent="0.2">
      <c r="A69" s="28">
        <v>2</v>
      </c>
      <c r="B69" s="28">
        <v>31.797272130430031</v>
      </c>
      <c r="C69" s="28">
        <v>0.81272786956996868</v>
      </c>
      <c r="D69" s="28">
        <v>2.0143466985743563</v>
      </c>
      <c r="F69"/>
      <c r="G69"/>
      <c r="H69"/>
      <c r="I69"/>
    </row>
    <row r="70" spans="1:9" x14ac:dyDescent="0.2">
      <c r="A70" s="28">
        <v>3</v>
      </c>
      <c r="B70" s="28">
        <v>31.898916730495685</v>
      </c>
      <c r="C70" s="28">
        <v>0.42108326950431518</v>
      </c>
      <c r="D70" s="28">
        <v>1.0436552325930666</v>
      </c>
      <c r="F70"/>
      <c r="G70"/>
      <c r="H70"/>
      <c r="I70"/>
    </row>
    <row r="71" spans="1:9" x14ac:dyDescent="0.2">
      <c r="A71" s="28">
        <v>4</v>
      </c>
      <c r="B71" s="28">
        <v>32.000561330561339</v>
      </c>
      <c r="C71" s="28">
        <v>0.38943866943866112</v>
      </c>
      <c r="D71" s="28">
        <v>0.96522406509331793</v>
      </c>
      <c r="F71"/>
      <c r="G71"/>
      <c r="H71"/>
      <c r="I71"/>
    </row>
    <row r="72" spans="1:9" x14ac:dyDescent="0.2">
      <c r="A72" s="28">
        <v>5</v>
      </c>
      <c r="B72" s="28">
        <v>32.102205930626987</v>
      </c>
      <c r="C72" s="28">
        <v>1.7794069373010757E-2</v>
      </c>
      <c r="D72" s="28">
        <v>4.4102615694344025E-2</v>
      </c>
      <c r="F72"/>
      <c r="G72"/>
      <c r="H72"/>
      <c r="I72"/>
    </row>
    <row r="73" spans="1:9" x14ac:dyDescent="0.2">
      <c r="A73" s="28">
        <v>6</v>
      </c>
      <c r="B73" s="28">
        <v>32.203850530692641</v>
      </c>
      <c r="C73" s="28">
        <v>0.35614946930736124</v>
      </c>
      <c r="D73" s="28">
        <v>0.88271675496730284</v>
      </c>
      <c r="F73"/>
      <c r="G73"/>
      <c r="H73"/>
      <c r="I73"/>
    </row>
    <row r="74" spans="1:9" x14ac:dyDescent="0.2">
      <c r="A74" s="28">
        <v>7</v>
      </c>
      <c r="B74" s="28">
        <v>32.305495130758295</v>
      </c>
      <c r="C74" s="28">
        <v>-0.18549513075829793</v>
      </c>
      <c r="D74" s="28">
        <v>-0.45974983538131009</v>
      </c>
      <c r="F74"/>
      <c r="G74"/>
      <c r="H74"/>
      <c r="I74"/>
    </row>
    <row r="75" spans="1:9" x14ac:dyDescent="0.2">
      <c r="A75" s="28">
        <v>8</v>
      </c>
      <c r="B75" s="28">
        <v>32.40713973082395</v>
      </c>
      <c r="C75" s="28">
        <v>-0.16713973082394773</v>
      </c>
      <c r="D75" s="28">
        <v>-0.41425596142527843</v>
      </c>
      <c r="F75"/>
      <c r="G75"/>
      <c r="H75"/>
      <c r="I75"/>
    </row>
    <row r="76" spans="1:9" x14ac:dyDescent="0.2">
      <c r="A76" s="28">
        <v>9</v>
      </c>
      <c r="B76" s="28">
        <v>32.508784330889597</v>
      </c>
      <c r="C76" s="28">
        <v>-0.44878433088959468</v>
      </c>
      <c r="D76" s="28">
        <v>-1.1123123362038583</v>
      </c>
      <c r="F76"/>
      <c r="G76"/>
      <c r="H76"/>
      <c r="I76"/>
    </row>
    <row r="77" spans="1:9" x14ac:dyDescent="0.2">
      <c r="A77" s="28">
        <v>10</v>
      </c>
      <c r="B77" s="28">
        <v>32.610428930955251</v>
      </c>
      <c r="C77" s="28">
        <v>-0.1904289309552496</v>
      </c>
      <c r="D77" s="28">
        <v>-0.47197826326014447</v>
      </c>
      <c r="F77"/>
      <c r="G77"/>
      <c r="H77"/>
      <c r="I77"/>
    </row>
    <row r="78" spans="1:9" x14ac:dyDescent="0.2">
      <c r="A78" s="28">
        <v>11</v>
      </c>
      <c r="B78" s="28">
        <v>32.712073531020906</v>
      </c>
      <c r="C78" s="28">
        <v>-0.23207353102090877</v>
      </c>
      <c r="D78" s="28">
        <v>-0.57519443905105982</v>
      </c>
      <c r="F78"/>
      <c r="G78"/>
      <c r="H78"/>
      <c r="I78"/>
    </row>
    <row r="79" spans="1:9" x14ac:dyDescent="0.2">
      <c r="A79" s="28">
        <v>12</v>
      </c>
      <c r="B79" s="28">
        <v>32.81371813108656</v>
      </c>
      <c r="C79" s="28">
        <v>-0.323718131086558</v>
      </c>
      <c r="D79" s="28">
        <v>-0.80233565629772019</v>
      </c>
      <c r="F79"/>
      <c r="G79"/>
      <c r="H79"/>
      <c r="I79"/>
    </row>
    <row r="80" spans="1:9" x14ac:dyDescent="0.2">
      <c r="A80" s="28">
        <v>13</v>
      </c>
      <c r="B80" s="28">
        <v>32.915362731152207</v>
      </c>
      <c r="C80" s="28">
        <v>-0.34536273115220695</v>
      </c>
      <c r="D80" s="28">
        <v>-0.85598181550630226</v>
      </c>
      <c r="F80"/>
      <c r="G80"/>
      <c r="H80"/>
      <c r="I80"/>
    </row>
    <row r="81" spans="1:9" x14ac:dyDescent="0.2">
      <c r="A81" s="28">
        <v>14</v>
      </c>
      <c r="B81" s="28">
        <v>33.017007331217862</v>
      </c>
      <c r="C81" s="28">
        <v>-0.10700733121786499</v>
      </c>
      <c r="D81" s="28">
        <v>-0.26521775914490409</v>
      </c>
      <c r="F81"/>
      <c r="G81"/>
      <c r="H81"/>
      <c r="I81"/>
    </row>
    <row r="82" spans="1:9" x14ac:dyDescent="0.2">
      <c r="A82" s="28">
        <v>15</v>
      </c>
      <c r="B82" s="28">
        <v>33.118651931283516</v>
      </c>
      <c r="C82" s="28">
        <v>-0.48865193128351336</v>
      </c>
      <c r="D82" s="28">
        <v>-1.2111242168350269</v>
      </c>
      <c r="F82"/>
      <c r="G82"/>
      <c r="H82"/>
      <c r="I82"/>
    </row>
    <row r="83" spans="1:9" x14ac:dyDescent="0.2">
      <c r="A83" s="28">
        <v>16</v>
      </c>
      <c r="B83" s="28">
        <v>33.22029653134917</v>
      </c>
      <c r="C83" s="28">
        <v>0.2497034686508286</v>
      </c>
      <c r="D83" s="28">
        <v>0.61889025408406872</v>
      </c>
      <c r="F83"/>
      <c r="G83"/>
      <c r="H83"/>
      <c r="I83"/>
    </row>
    <row r="84" spans="1:9" x14ac:dyDescent="0.2">
      <c r="A84" s="28">
        <v>17</v>
      </c>
      <c r="B84" s="28">
        <v>33.321941131414818</v>
      </c>
      <c r="C84" s="28">
        <v>0.28805886858518193</v>
      </c>
      <c r="D84" s="28">
        <v>0.71395414462241613</v>
      </c>
      <c r="F84"/>
      <c r="G84"/>
      <c r="H84"/>
      <c r="I84"/>
    </row>
    <row r="85" spans="1:9" x14ac:dyDescent="0.2">
      <c r="A85" s="28">
        <v>18</v>
      </c>
      <c r="B85" s="28">
        <v>33.423585731480472</v>
      </c>
      <c r="C85" s="28">
        <v>0.17641426851952957</v>
      </c>
      <c r="D85" s="28">
        <v>0.43724291079344002</v>
      </c>
      <c r="F85"/>
      <c r="G85"/>
      <c r="H85"/>
      <c r="I85"/>
    </row>
    <row r="86" spans="1:9" x14ac:dyDescent="0.2">
      <c r="A86" s="28">
        <v>19</v>
      </c>
      <c r="B86" s="28">
        <v>33.525230331546126</v>
      </c>
      <c r="C86" s="28">
        <v>-0.47523033154612904</v>
      </c>
      <c r="D86" s="28">
        <v>-1.1778587707578649</v>
      </c>
      <c r="F86"/>
      <c r="G86"/>
      <c r="H86"/>
      <c r="I86"/>
    </row>
    <row r="87" spans="1:9" x14ac:dyDescent="0.2">
      <c r="A87" s="28">
        <v>20</v>
      </c>
      <c r="B87" s="28">
        <v>33.626874931611781</v>
      </c>
      <c r="C87" s="28">
        <v>-0.23687493161177997</v>
      </c>
      <c r="D87" s="28">
        <v>-0.58709471439644922</v>
      </c>
      <c r="F87"/>
      <c r="G87"/>
      <c r="H87"/>
      <c r="I87"/>
    </row>
    <row r="88" spans="1:9" x14ac:dyDescent="0.2">
      <c r="A88" s="28">
        <v>21</v>
      </c>
      <c r="B88" s="28">
        <v>33.728519531677435</v>
      </c>
      <c r="C88" s="28">
        <v>-0.39851953167743659</v>
      </c>
      <c r="D88" s="28">
        <v>-0.98773098968120565</v>
      </c>
      <c r="F88"/>
      <c r="G88"/>
      <c r="H88"/>
      <c r="I88"/>
    </row>
    <row r="89" spans="1:9" x14ac:dyDescent="0.2">
      <c r="A89" s="28">
        <v>22</v>
      </c>
      <c r="B89" s="28">
        <v>33.830164131743082</v>
      </c>
      <c r="C89" s="28">
        <v>-0.29016413174308298</v>
      </c>
      <c r="D89" s="28">
        <v>-0.71917204110477995</v>
      </c>
      <c r="F89"/>
      <c r="G89"/>
      <c r="H89"/>
      <c r="I89"/>
    </row>
    <row r="90" spans="1:9" x14ac:dyDescent="0.2">
      <c r="A90" s="28">
        <v>23</v>
      </c>
      <c r="B90" s="28">
        <v>33.931808731808736</v>
      </c>
      <c r="C90" s="28">
        <v>0.16819126819126495</v>
      </c>
      <c r="D90" s="28">
        <v>0.41686219766201998</v>
      </c>
      <c r="F90"/>
      <c r="G90"/>
      <c r="H90"/>
      <c r="I90"/>
    </row>
    <row r="91" spans="1:9" x14ac:dyDescent="0.2">
      <c r="A91" s="28">
        <v>24</v>
      </c>
      <c r="B91" s="28">
        <v>34.033453331874391</v>
      </c>
      <c r="C91" s="28">
        <v>-5.3453331874393939E-2</v>
      </c>
      <c r="D91" s="28">
        <v>-0.13248412736966575</v>
      </c>
      <c r="F91"/>
      <c r="G91"/>
      <c r="H91"/>
      <c r="I91"/>
    </row>
    <row r="92" spans="1:9" x14ac:dyDescent="0.2">
      <c r="A92" s="28">
        <v>25</v>
      </c>
      <c r="B92" s="28">
        <v>34.135097931940045</v>
      </c>
      <c r="C92" s="28">
        <v>-0.65509793194004828</v>
      </c>
      <c r="D92" s="28">
        <v>-1.6236607674651904</v>
      </c>
      <c r="F92"/>
      <c r="G92"/>
      <c r="H92"/>
      <c r="I92"/>
    </row>
    <row r="93" spans="1:9" x14ac:dyDescent="0.2">
      <c r="A93" s="28">
        <v>26</v>
      </c>
      <c r="B93" s="28">
        <v>34.236742532005692</v>
      </c>
      <c r="C93" s="28">
        <v>-0.97674253200569439</v>
      </c>
      <c r="D93" s="28">
        <v>-2.4208571754083841</v>
      </c>
      <c r="F93"/>
      <c r="G93"/>
      <c r="H93"/>
      <c r="I93"/>
    </row>
    <row r="94" spans="1:9" x14ac:dyDescent="0.2">
      <c r="A94" s="28">
        <v>27</v>
      </c>
      <c r="B94" s="28">
        <v>34.338387132071347</v>
      </c>
      <c r="C94" s="28">
        <v>0.16161286792865326</v>
      </c>
      <c r="D94" s="28">
        <v>0.40055762715688398</v>
      </c>
      <c r="F94"/>
      <c r="G94"/>
      <c r="H94"/>
      <c r="I94"/>
    </row>
    <row r="95" spans="1:9" x14ac:dyDescent="0.2">
      <c r="A95" s="28">
        <v>28</v>
      </c>
      <c r="B95" s="28">
        <v>34.440031732137001</v>
      </c>
      <c r="C95" s="28">
        <v>-5.0031732137000517E-2</v>
      </c>
      <c r="D95" s="28">
        <v>-0.12400368958363514</v>
      </c>
      <c r="F95"/>
      <c r="G95"/>
      <c r="H95"/>
      <c r="I95"/>
    </row>
    <row r="96" spans="1:9" x14ac:dyDescent="0.2">
      <c r="A96" s="28">
        <v>29</v>
      </c>
      <c r="B96" s="28">
        <v>34.541676332202655</v>
      </c>
      <c r="C96" s="28">
        <v>-0.181676332202656</v>
      </c>
      <c r="D96" s="28">
        <v>-0.45028493999492686</v>
      </c>
      <c r="F96"/>
      <c r="G96"/>
      <c r="H96"/>
      <c r="I96"/>
    </row>
    <row r="97" spans="1:9" x14ac:dyDescent="0.2">
      <c r="A97" s="28">
        <v>30</v>
      </c>
      <c r="B97" s="28">
        <v>34.643320932268303</v>
      </c>
      <c r="C97" s="28">
        <v>0.5866790677316942</v>
      </c>
      <c r="D97" s="28">
        <v>1.4540845557976512</v>
      </c>
      <c r="F97"/>
      <c r="G97"/>
      <c r="H97"/>
      <c r="I97"/>
    </row>
    <row r="98" spans="1:9" x14ac:dyDescent="0.2">
      <c r="A98" s="28">
        <v>31</v>
      </c>
      <c r="B98" s="28">
        <v>34.744965532333957</v>
      </c>
      <c r="C98" s="28">
        <v>0.22503446766604185</v>
      </c>
      <c r="D98" s="28">
        <v>0.55774811468982632</v>
      </c>
      <c r="F98"/>
      <c r="G98"/>
      <c r="H98"/>
      <c r="I98"/>
    </row>
    <row r="99" spans="1:9" x14ac:dyDescent="0.2">
      <c r="A99" s="28">
        <v>32</v>
      </c>
      <c r="B99" s="28">
        <v>34.846610132399611</v>
      </c>
      <c r="C99" s="28">
        <v>0.15338986760038864</v>
      </c>
      <c r="D99" s="28">
        <v>0.38017691402546394</v>
      </c>
      <c r="F99"/>
      <c r="G99"/>
      <c r="H99"/>
      <c r="I99"/>
    </row>
    <row r="100" spans="1:9" x14ac:dyDescent="0.2">
      <c r="A100" s="28">
        <v>33</v>
      </c>
      <c r="B100" s="28">
        <v>34.948254732465266</v>
      </c>
      <c r="C100" s="28">
        <v>0.81174526753473231</v>
      </c>
      <c r="D100" s="28">
        <v>2.0119113186153323</v>
      </c>
      <c r="F100"/>
      <c r="G100"/>
      <c r="H100"/>
      <c r="I100"/>
    </row>
    <row r="101" spans="1:9" x14ac:dyDescent="0.2">
      <c r="A101" s="28">
        <v>34</v>
      </c>
      <c r="B101" s="28">
        <v>35.049899332530913</v>
      </c>
      <c r="C101" s="28">
        <v>0.66010066746908791</v>
      </c>
      <c r="D101" s="28">
        <v>1.6360600516217603</v>
      </c>
      <c r="F101"/>
      <c r="G101"/>
      <c r="H101"/>
      <c r="I101"/>
    </row>
    <row r="102" spans="1:9" x14ac:dyDescent="0.2">
      <c r="A102" s="28">
        <v>35</v>
      </c>
      <c r="B102" s="28">
        <v>35.151543932596567</v>
      </c>
      <c r="C102" s="28">
        <v>0.26845606740343442</v>
      </c>
      <c r="D102" s="28">
        <v>0.66536858564047063</v>
      </c>
      <c r="F102"/>
      <c r="G102"/>
      <c r="H102"/>
      <c r="I102"/>
    </row>
    <row r="103" spans="1:9" x14ac:dyDescent="0.2">
      <c r="A103" s="28">
        <v>36</v>
      </c>
      <c r="B103" s="28">
        <v>35.253188532662222</v>
      </c>
      <c r="C103" s="28">
        <v>3.6811467337777515E-2</v>
      </c>
      <c r="D103" s="28">
        <v>9.1237252317635867E-2</v>
      </c>
      <c r="F103"/>
      <c r="G103"/>
      <c r="H103"/>
      <c r="I103"/>
    </row>
    <row r="104" spans="1:9" x14ac:dyDescent="0.2">
      <c r="A104" s="28">
        <v>37</v>
      </c>
      <c r="B104" s="28">
        <v>35.354833132727876</v>
      </c>
      <c r="C104" s="28">
        <v>0.18516686727212317</v>
      </c>
      <c r="D104" s="28">
        <v>0.45893623405865763</v>
      </c>
      <c r="F104"/>
      <c r="G104"/>
      <c r="H104"/>
      <c r="I104"/>
    </row>
    <row r="105" spans="1:9" ht="17" thickBot="1" x14ac:dyDescent="0.25">
      <c r="A105" s="29">
        <v>38</v>
      </c>
      <c r="B105" s="29">
        <v>35.456477732793523</v>
      </c>
      <c r="C105" s="29">
        <v>-0.44647773279352521</v>
      </c>
      <c r="D105" s="29">
        <v>-1.1065954309103141</v>
      </c>
      <c r="F105"/>
      <c r="G105"/>
      <c r="H105"/>
      <c r="I105"/>
    </row>
    <row r="108" spans="1:9" x14ac:dyDescent="0.2">
      <c r="A108" s="15" t="s">
        <v>90</v>
      </c>
    </row>
    <row r="109" spans="1:9" x14ac:dyDescent="0.2">
      <c r="A109" s="16" t="s">
        <v>53</v>
      </c>
      <c r="B109" s="16" t="s">
        <v>54</v>
      </c>
      <c r="C109" s="16" t="s">
        <v>63</v>
      </c>
      <c r="D109" s="16" t="s">
        <v>64</v>
      </c>
    </row>
    <row r="110" spans="1:9" x14ac:dyDescent="0.2">
      <c r="A110" s="26">
        <v>45873</v>
      </c>
      <c r="B110" s="20">
        <v>13546400</v>
      </c>
      <c r="C110" s="16">
        <v>35.1</v>
      </c>
      <c r="D110" s="16">
        <v>35.46</v>
      </c>
    </row>
    <row r="111" spans="1:9" x14ac:dyDescent="0.2">
      <c r="A111" s="26">
        <v>45874</v>
      </c>
      <c r="B111" s="20">
        <v>11480800</v>
      </c>
      <c r="C111" s="16">
        <v>35.5</v>
      </c>
      <c r="D111" s="16">
        <v>35.65</v>
      </c>
    </row>
    <row r="112" spans="1:9" x14ac:dyDescent="0.2">
      <c r="A112" s="26">
        <v>45875</v>
      </c>
      <c r="B112" s="20">
        <v>12126100</v>
      </c>
      <c r="C112" s="16">
        <v>35.619999999999997</v>
      </c>
      <c r="D112" s="16">
        <v>36.01</v>
      </c>
    </row>
    <row r="113" spans="1:4" x14ac:dyDescent="0.2">
      <c r="A113" s="26">
        <v>45876</v>
      </c>
      <c r="B113" s="20">
        <v>14530800</v>
      </c>
      <c r="C113" s="16">
        <v>36.1</v>
      </c>
      <c r="D113" s="16">
        <v>35.25</v>
      </c>
    </row>
    <row r="114" spans="1:4" x14ac:dyDescent="0.2">
      <c r="A114" s="26">
        <v>45877</v>
      </c>
      <c r="B114" s="20">
        <v>10864400</v>
      </c>
      <c r="C114" s="16">
        <v>35.4</v>
      </c>
      <c r="D114" s="16">
        <v>35.43</v>
      </c>
    </row>
    <row r="115" spans="1:4" x14ac:dyDescent="0.2">
      <c r="A115" s="26">
        <v>45880</v>
      </c>
      <c r="B115" s="20">
        <v>14318300</v>
      </c>
      <c r="C115" s="16">
        <v>35.43</v>
      </c>
      <c r="D115" s="16">
        <v>35.229999999999997</v>
      </c>
    </row>
    <row r="116" spans="1:4" x14ac:dyDescent="0.2">
      <c r="A116" s="26">
        <v>45881</v>
      </c>
      <c r="B116" s="20">
        <v>20809900</v>
      </c>
      <c r="C116" s="16">
        <v>35.49</v>
      </c>
      <c r="D116" s="16">
        <v>35.82</v>
      </c>
    </row>
    <row r="117" spans="1:4" x14ac:dyDescent="0.2">
      <c r="A117" s="26">
        <v>45882</v>
      </c>
      <c r="B117" s="20">
        <v>21515200</v>
      </c>
      <c r="C117" s="16">
        <v>35.979999999999997</v>
      </c>
      <c r="D117" s="16">
        <v>36.08</v>
      </c>
    </row>
    <row r="118" spans="1:4" x14ac:dyDescent="0.2">
      <c r="A118" s="26">
        <v>45883</v>
      </c>
      <c r="B118" s="20">
        <v>23862100</v>
      </c>
      <c r="C118" s="16">
        <v>35.92</v>
      </c>
      <c r="D118" s="16">
        <v>36.35</v>
      </c>
    </row>
    <row r="119" spans="1:4" x14ac:dyDescent="0.2">
      <c r="A119" s="26">
        <v>45884</v>
      </c>
      <c r="B119" s="20">
        <v>17898100</v>
      </c>
      <c r="C119" s="16">
        <v>36.42</v>
      </c>
      <c r="D119" s="16">
        <v>36.32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57A1-17E1-844D-A782-1024A3BA5148}">
  <dimension ref="A1:M25"/>
  <sheetViews>
    <sheetView showGridLines="0" tabSelected="1" workbookViewId="0">
      <selection activeCell="C24" sqref="C24"/>
    </sheetView>
  </sheetViews>
  <sheetFormatPr baseColWidth="10" defaultRowHeight="16" x14ac:dyDescent="0.2"/>
  <cols>
    <col min="1" max="1" width="9.5" style="1" customWidth="1"/>
    <col min="2" max="3" width="19" style="1" customWidth="1"/>
    <col min="4" max="4" width="14.1640625" style="1" customWidth="1"/>
    <col min="5" max="5" width="9.5" style="1" customWidth="1"/>
    <col min="6" max="6" width="13.5" style="1" customWidth="1"/>
    <col min="7" max="7" width="14.6640625" style="1" customWidth="1"/>
    <col min="8" max="8" width="11.6640625" style="1" customWidth="1"/>
    <col min="9" max="9" width="13.6640625" style="1" customWidth="1"/>
    <col min="10" max="10" width="18" style="1" customWidth="1"/>
    <col min="11" max="11" width="9.33203125" style="1" customWidth="1"/>
    <col min="12" max="12" width="13.33203125" style="1" customWidth="1"/>
    <col min="13" max="13" width="16.33203125" style="1" customWidth="1"/>
    <col min="14" max="14" width="13.33203125" style="1" customWidth="1"/>
    <col min="15" max="16384" width="10.83203125" style="1"/>
  </cols>
  <sheetData>
    <row r="1" spans="1:13" s="34" customFormat="1" x14ac:dyDescent="0.2">
      <c r="A1" s="35" t="s">
        <v>85</v>
      </c>
      <c r="B1" s="36" t="s">
        <v>55</v>
      </c>
      <c r="C1" s="37" t="s">
        <v>91</v>
      </c>
      <c r="D1" s="37" t="s">
        <v>82</v>
      </c>
      <c r="E1" s="37" t="s">
        <v>83</v>
      </c>
      <c r="F1" s="38" t="s">
        <v>88</v>
      </c>
      <c r="G1" s="38" t="s">
        <v>86</v>
      </c>
      <c r="H1" s="39" t="s">
        <v>84</v>
      </c>
      <c r="I1" s="40" t="s">
        <v>87</v>
      </c>
      <c r="J1" s="40" t="s">
        <v>94</v>
      </c>
      <c r="K1" s="41"/>
      <c r="L1" s="42" t="s">
        <v>89</v>
      </c>
      <c r="M1" s="33"/>
    </row>
    <row r="2" spans="1:13" x14ac:dyDescent="0.2">
      <c r="A2" s="43" t="s">
        <v>38</v>
      </c>
      <c r="B2" s="44">
        <f>ZBIO!$D$39</f>
        <v>15.41</v>
      </c>
      <c r="C2" s="45">
        <f>ZBIO!$B$48</f>
        <v>0.6331345151910851</v>
      </c>
      <c r="D2" s="45">
        <f>ZBIO!$B$61</f>
        <v>0.17494036546668121</v>
      </c>
      <c r="E2" s="45">
        <f>ZBIO!$F$2</f>
        <v>0.66666666666666663</v>
      </c>
      <c r="F2" s="46">
        <f>_xlfn.CEILING.MATH(E2*10,1)</f>
        <v>7</v>
      </c>
      <c r="G2" s="45">
        <f>50000*C2</f>
        <v>31656.725759554254</v>
      </c>
      <c r="H2" s="47">
        <v>2054</v>
      </c>
      <c r="I2" s="48">
        <f>H2*B2</f>
        <v>31652.14</v>
      </c>
      <c r="J2" s="48">
        <f>H2*D2*F2</f>
        <v>2515.2925746799424</v>
      </c>
      <c r="K2" s="48"/>
      <c r="L2" s="49">
        <f>20000*COUNTA(A2:A9)</f>
        <v>160000</v>
      </c>
      <c r="M2" s="32"/>
    </row>
    <row r="3" spans="1:13" x14ac:dyDescent="0.2">
      <c r="A3" s="43" t="s">
        <v>46</v>
      </c>
      <c r="B3" s="44">
        <f>Z!$D$39</f>
        <v>80.2</v>
      </c>
      <c r="C3" s="45">
        <f>Z!$B$48</f>
        <v>0.79859170028538895</v>
      </c>
      <c r="D3" s="45">
        <f>Z!$B$61</f>
        <v>0.3734303534303533</v>
      </c>
      <c r="E3" s="45">
        <f>Z!$F$2</f>
        <v>0.60606060606060608</v>
      </c>
      <c r="F3" s="46">
        <f t="shared" ref="F3:F9" si="0">_xlfn.CEILING.MATH(E3*10,1)</f>
        <v>7</v>
      </c>
      <c r="G3" s="45">
        <f>50000*C3</f>
        <v>39929.585014269447</v>
      </c>
      <c r="H3" s="47">
        <v>480</v>
      </c>
      <c r="I3" s="48">
        <f t="shared" ref="I3:I8" si="1">H3*B3</f>
        <v>38496</v>
      </c>
      <c r="J3" s="48">
        <f>H3*D3*F3</f>
        <v>1254.725987525987</v>
      </c>
      <c r="K3" s="48"/>
      <c r="L3" s="50"/>
      <c r="M3" s="32"/>
    </row>
    <row r="4" spans="1:13" x14ac:dyDescent="0.2">
      <c r="A4" s="43" t="s">
        <v>50</v>
      </c>
      <c r="B4" s="44">
        <f>ZBRA!D39</f>
        <v>335.24</v>
      </c>
      <c r="C4" s="45">
        <f>ZBRA!B48</f>
        <v>0.88140195730469351</v>
      </c>
      <c r="D4" s="45">
        <f>ZBRA!B61</f>
        <v>1.4031163146952621</v>
      </c>
      <c r="E4" s="45">
        <f>ZBRA!F2</f>
        <v>0.78787878787878785</v>
      </c>
      <c r="F4" s="46">
        <f t="shared" si="0"/>
        <v>8</v>
      </c>
      <c r="G4" s="45">
        <f>50000*C4</f>
        <v>44070.097865234675</v>
      </c>
      <c r="H4" s="47">
        <v>131</v>
      </c>
      <c r="I4" s="48">
        <f t="shared" si="1"/>
        <v>43916.44</v>
      </c>
      <c r="J4" s="48">
        <f>H4*D4*F4</f>
        <v>1470.4658978006346</v>
      </c>
      <c r="K4" s="48"/>
      <c r="L4" s="50"/>
      <c r="M4" s="32"/>
    </row>
    <row r="5" spans="1:13" x14ac:dyDescent="0.2">
      <c r="A5" s="43" t="s">
        <v>60</v>
      </c>
      <c r="B5" s="44">
        <f>ZION!$D$39</f>
        <v>52.08</v>
      </c>
      <c r="C5" s="45">
        <f>ZION!$B$48</f>
        <v>0.61913530544090134</v>
      </c>
      <c r="D5" s="45">
        <f>ZION!$B$61</f>
        <v>0.22848998796367223</v>
      </c>
      <c r="E5" s="45">
        <f>ZION!$F$2</f>
        <v>0.66666666666666663</v>
      </c>
      <c r="F5" s="46">
        <f t="shared" si="0"/>
        <v>7</v>
      </c>
      <c r="G5" s="45">
        <f>50000*C5</f>
        <v>30956.765272045068</v>
      </c>
      <c r="H5" s="47">
        <v>1</v>
      </c>
      <c r="I5" s="48">
        <f t="shared" si="1"/>
        <v>52.08</v>
      </c>
      <c r="J5" s="48">
        <f>H5*D5*F5</f>
        <v>1.5994299157457057</v>
      </c>
      <c r="K5" s="48"/>
      <c r="L5" s="50"/>
      <c r="M5" s="32"/>
    </row>
    <row r="6" spans="1:13" x14ac:dyDescent="0.2">
      <c r="A6" s="43" t="s">
        <v>67</v>
      </c>
      <c r="B6" s="44">
        <f>HIVE!D39</f>
        <v>2.0299999999999998</v>
      </c>
      <c r="C6" s="45">
        <f>HIVE!B48</f>
        <v>0.45093877668594273</v>
      </c>
      <c r="D6" s="45">
        <f>HIVE!B61</f>
        <v>1.3469745048692416E-2</v>
      </c>
      <c r="E6" s="45">
        <f>HIVE!F2</f>
        <v>0.51515151515151514</v>
      </c>
      <c r="F6" s="46">
        <f t="shared" si="0"/>
        <v>6</v>
      </c>
      <c r="G6" s="45">
        <f>50000*C6</f>
        <v>22546.938834297136</v>
      </c>
      <c r="H6" s="47">
        <v>11104</v>
      </c>
      <c r="I6" s="48">
        <f t="shared" si="1"/>
        <v>22541.119999999999</v>
      </c>
      <c r="J6" s="48">
        <f>H6*D6*F6</f>
        <v>897.40829412408357</v>
      </c>
      <c r="K6" s="48"/>
      <c r="L6" s="50"/>
      <c r="M6" s="32"/>
    </row>
    <row r="7" spans="1:13" x14ac:dyDescent="0.2">
      <c r="A7" s="43" t="s">
        <v>69</v>
      </c>
      <c r="B7" s="44">
        <f>HUT!D39</f>
        <v>19.78</v>
      </c>
      <c r="C7" s="45">
        <f>HUT!B48</f>
        <v>0.4675208539513071</v>
      </c>
      <c r="D7" s="45">
        <f>HUT!B61</f>
        <v>0.11628952839479149</v>
      </c>
      <c r="E7" s="45">
        <f>HUT!F2</f>
        <v>0.54545454545454541</v>
      </c>
      <c r="F7" s="46">
        <f t="shared" si="0"/>
        <v>6</v>
      </c>
      <c r="G7" s="45">
        <f>50000*C7</f>
        <v>23376.042697565354</v>
      </c>
      <c r="H7" s="47">
        <v>1180</v>
      </c>
      <c r="I7" s="48">
        <f t="shared" si="1"/>
        <v>23340.400000000001</v>
      </c>
      <c r="J7" s="48">
        <f>H7*D7*F7</f>
        <v>823.32986103512371</v>
      </c>
      <c r="K7" s="48"/>
      <c r="L7" s="50"/>
      <c r="M7" s="32"/>
    </row>
    <row r="8" spans="1:13" x14ac:dyDescent="0.2">
      <c r="A8" s="43" t="s">
        <v>72</v>
      </c>
      <c r="B8" s="44">
        <f>CDNS!D39</f>
        <v>356.97</v>
      </c>
      <c r="C8" s="45">
        <f>CDNS!B48</f>
        <v>0.67835695248062777</v>
      </c>
      <c r="D8" s="45">
        <f>CDNS!B61</f>
        <v>1.4528165007112375</v>
      </c>
      <c r="E8" s="45">
        <f>CDNS!F2</f>
        <v>0.63636363636363635</v>
      </c>
      <c r="F8" s="46">
        <f t="shared" si="0"/>
        <v>7</v>
      </c>
      <c r="G8" s="45">
        <f>50000*C8</f>
        <v>33917.84762403139</v>
      </c>
      <c r="H8" s="47">
        <v>0</v>
      </c>
      <c r="I8" s="48">
        <f t="shared" si="1"/>
        <v>0</v>
      </c>
      <c r="J8" s="48">
        <f>H8*D8*F8</f>
        <v>0</v>
      </c>
      <c r="K8" s="48"/>
      <c r="L8" s="50"/>
      <c r="M8" s="32"/>
    </row>
    <row r="9" spans="1:13" x14ac:dyDescent="0.2">
      <c r="A9" s="43" t="s">
        <v>75</v>
      </c>
      <c r="B9" s="44">
        <f>CSX!D39</f>
        <v>35.01</v>
      </c>
      <c r="C9" s="45">
        <f>CSX!B48</f>
        <v>0.88685418332465404</v>
      </c>
      <c r="D9" s="45">
        <f>CSX!B61</f>
        <v>0.10164460006565265</v>
      </c>
      <c r="E9" s="45">
        <f>CSX!F2</f>
        <v>0.72727272727272729</v>
      </c>
      <c r="F9" s="46">
        <f t="shared" si="0"/>
        <v>8</v>
      </c>
      <c r="G9" s="45">
        <f>50000*C9</f>
        <v>44342.7091662327</v>
      </c>
      <c r="H9" s="47">
        <v>0</v>
      </c>
      <c r="I9" s="48">
        <f>H9*B9</f>
        <v>0</v>
      </c>
      <c r="J9" s="48">
        <f>H9*D9*F9</f>
        <v>0</v>
      </c>
      <c r="K9" s="48"/>
      <c r="L9" s="50"/>
      <c r="M9" s="32"/>
    </row>
    <row r="10" spans="1:13" x14ac:dyDescent="0.2">
      <c r="A10" s="43"/>
      <c r="B10" s="46"/>
      <c r="C10" s="46"/>
      <c r="D10" s="46"/>
      <c r="E10" s="46"/>
      <c r="F10" s="46"/>
      <c r="G10" s="51"/>
      <c r="H10" s="52"/>
      <c r="I10" s="48"/>
      <c r="J10" s="46"/>
      <c r="K10" s="46"/>
      <c r="L10" s="53"/>
    </row>
    <row r="11" spans="1:13" x14ac:dyDescent="0.2">
      <c r="A11" s="54"/>
      <c r="B11" s="55"/>
      <c r="C11" s="55"/>
      <c r="D11" s="55"/>
      <c r="E11" s="55"/>
      <c r="F11" s="55"/>
      <c r="G11" s="55"/>
      <c r="H11" s="55"/>
      <c r="I11" s="56">
        <f>SUM(I2:I9)</f>
        <v>159998.18</v>
      </c>
      <c r="J11" s="57">
        <f>SUM(J2:J9)</f>
        <v>6962.8220450815179</v>
      </c>
      <c r="K11" s="55"/>
      <c r="L11" s="58"/>
    </row>
    <row r="14" spans="1:13" x14ac:dyDescent="0.2">
      <c r="A14" s="35" t="s">
        <v>85</v>
      </c>
      <c r="B14" s="40" t="s">
        <v>92</v>
      </c>
      <c r="C14" s="67" t="s">
        <v>93</v>
      </c>
      <c r="D14" s="61" t="s">
        <v>95</v>
      </c>
    </row>
    <row r="15" spans="1:13" x14ac:dyDescent="0.2">
      <c r="A15" s="43" t="s">
        <v>38</v>
      </c>
      <c r="B15" s="48">
        <v>2515.2925746799424</v>
      </c>
      <c r="C15" s="63">
        <f>(ZBIO!D119-ZBIO!C110)*Optimisation!H2</f>
        <v>2464.800000000002</v>
      </c>
      <c r="D15" s="68">
        <f>C15-B15</f>
        <v>-50.49257467994039</v>
      </c>
    </row>
    <row r="16" spans="1:13" x14ac:dyDescent="0.2">
      <c r="A16" s="43" t="s">
        <v>46</v>
      </c>
      <c r="B16" s="48">
        <v>1254.725987525987</v>
      </c>
      <c r="C16" s="64">
        <f>(Z!D119-Z!C110)*Optimisation!H3</f>
        <v>1891.1999999999989</v>
      </c>
      <c r="D16" s="68">
        <f t="shared" ref="D16:D25" si="2">C16-B16</f>
        <v>636.47401247401194</v>
      </c>
    </row>
    <row r="17" spans="1:4" x14ac:dyDescent="0.2">
      <c r="A17" s="43" t="s">
        <v>50</v>
      </c>
      <c r="B17" s="48">
        <v>1470.4658978006346</v>
      </c>
      <c r="C17" s="64">
        <f>(ZBRA!D119-ZBRA!C110)*Optimisation!H4</f>
        <v>-2614.7600000000048</v>
      </c>
      <c r="D17" s="68">
        <f t="shared" si="2"/>
        <v>-4085.2258978006394</v>
      </c>
    </row>
    <row r="18" spans="1:4" x14ac:dyDescent="0.2">
      <c r="A18" s="43" t="s">
        <v>60</v>
      </c>
      <c r="B18" s="48">
        <v>1.5994299157457057</v>
      </c>
      <c r="C18" s="64">
        <f>(ZION!D119-ZION!C110)*Optimisation!H5</f>
        <v>0.19000000000000483</v>
      </c>
      <c r="D18" s="68">
        <f t="shared" si="2"/>
        <v>-1.4094299157457009</v>
      </c>
    </row>
    <row r="19" spans="1:4" x14ac:dyDescent="0.2">
      <c r="A19" s="43" t="s">
        <v>67</v>
      </c>
      <c r="B19" s="48">
        <v>897.40829412408357</v>
      </c>
      <c r="C19" s="64">
        <f>(HIVE!D119-HIVE!C110)*Optimisation!H6</f>
        <v>1887.6800000000042</v>
      </c>
      <c r="D19" s="68">
        <f t="shared" si="2"/>
        <v>990.27170587592059</v>
      </c>
    </row>
    <row r="20" spans="1:4" x14ac:dyDescent="0.2">
      <c r="A20" s="43" t="s">
        <v>69</v>
      </c>
      <c r="B20" s="48">
        <v>823.32986103512371</v>
      </c>
      <c r="C20" s="64">
        <f>(HUT!D119-HUT!C110)*Optimisation!H7</f>
        <v>3953.0000000000018</v>
      </c>
      <c r="D20" s="68">
        <f t="shared" si="2"/>
        <v>3129.6701389648779</v>
      </c>
    </row>
    <row r="21" spans="1:4" x14ac:dyDescent="0.2">
      <c r="A21" s="43" t="s">
        <v>72</v>
      </c>
      <c r="B21" s="48">
        <v>0</v>
      </c>
      <c r="C21" s="64">
        <f>(CDNS!D119-CDNS!C110)*Optimisation!H8</f>
        <v>0</v>
      </c>
      <c r="D21" s="68">
        <f t="shared" si="2"/>
        <v>0</v>
      </c>
    </row>
    <row r="22" spans="1:4" x14ac:dyDescent="0.2">
      <c r="A22" s="43" t="s">
        <v>75</v>
      </c>
      <c r="B22" s="48">
        <v>0</v>
      </c>
      <c r="C22" s="64">
        <f>(CSX!D119-CSX!C110)*Optimisation!H9</f>
        <v>0</v>
      </c>
      <c r="D22" s="68">
        <f t="shared" si="2"/>
        <v>0</v>
      </c>
    </row>
    <row r="23" spans="1:4" x14ac:dyDescent="0.2">
      <c r="A23" s="43"/>
      <c r="B23" s="46"/>
      <c r="C23" s="64"/>
      <c r="D23" s="68"/>
    </row>
    <row r="24" spans="1:4" x14ac:dyDescent="0.2">
      <c r="A24" s="43"/>
      <c r="B24" s="65">
        <v>6962.8220450815179</v>
      </c>
      <c r="C24" s="65">
        <f>SUM(C15:C22)</f>
        <v>7582.1100000000024</v>
      </c>
      <c r="D24" s="68">
        <f t="shared" si="2"/>
        <v>619.2879549184845</v>
      </c>
    </row>
    <row r="25" spans="1:4" x14ac:dyDescent="0.2">
      <c r="A25" s="54"/>
      <c r="B25" s="66"/>
      <c r="C25" s="69">
        <f>C24/B24-1</f>
        <v>8.8942091426269299E-2</v>
      </c>
      <c r="D25" s="70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BB23D0E-1BCB-A145-A2B4-27EA5FC9CDB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Optimisation!B24:C24</xm:f>
              <xm:sqref>B25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Port_NASDAQ</vt:lpstr>
      <vt:lpstr>ZBIO</vt:lpstr>
      <vt:lpstr>Z</vt:lpstr>
      <vt:lpstr>ZBRA</vt:lpstr>
      <vt:lpstr>ZION</vt:lpstr>
      <vt:lpstr>HIVE</vt:lpstr>
      <vt:lpstr>HUT</vt:lpstr>
      <vt:lpstr>CDNS</vt:lpstr>
      <vt:lpstr>CSX</vt:lpstr>
      <vt:lpstr>Optimisation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2025-08-21T06:43:26Z</dcterms:created>
  <dcterms:modified xsi:type="dcterms:W3CDTF">2025-08-25T11:36:33Z</dcterms:modified>
</cp:coreProperties>
</file>